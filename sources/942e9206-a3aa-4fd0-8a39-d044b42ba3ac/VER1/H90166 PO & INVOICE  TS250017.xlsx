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990" activeTab="1"/>
  </bookViews>
  <sheets>
    <sheet name="H90166" sheetId="1" r:id="rId1"/>
    <sheet name="Invoice " sheetId="2" r:id="rId2"/>
    <sheet name="Packing list " sheetId="3" r:id="rId3"/>
  </sheets>
  <definedNames>
    <definedName name="_xlnm._FilterDatabase" localSheetId="1" hidden="1">'Invoice '!$A$13:$L$18</definedName>
    <definedName name="_xlnm.Print_Area" localSheetId="1">'Invoice '!$A$1:$L$25</definedName>
    <definedName name="_xlnm.Print_Area" localSheetId="2">'Packing list '!$A$1:$L$27</definedName>
    <definedName name="_xlnm._FilterDatabase" localSheetId="2" hidden="1">'Packing list '!$A$14:$L$23</definedName>
  </definedNames>
  <calcPr calcId="144525" concurrentCalc="0"/>
</workbook>
</file>

<file path=xl/comments1.xml><?xml version="1.0" encoding="utf-8"?>
<comments xmlns="http://schemas.openxmlformats.org/spreadsheetml/2006/main">
  <authors>
    <author>pc</author>
  </authors>
  <commentList>
    <comment ref="J9" authorId="0">
      <text>
        <r>
          <rPr>
            <sz val="9"/>
            <rFont val="Tahoma"/>
            <charset val="134"/>
          </rPr>
          <t xml:space="preserve">fill in if any
</t>
        </r>
      </text>
    </comment>
  </commentList>
</comments>
</file>

<file path=xl/sharedStrings.xml><?xml version="1.0" encoding="utf-8"?>
<sst xmlns="http://schemas.openxmlformats.org/spreadsheetml/2006/main" count="136" uniqueCount="82">
  <si>
    <t>PURCHASE ORDER</t>
  </si>
  <si>
    <t>PO    NO:</t>
  </si>
  <si>
    <t>H90166</t>
  </si>
  <si>
    <t>PO  DATE:</t>
  </si>
  <si>
    <t>BUYER:  MOONPO DEVELOPMENT(VIETNAM) LIMITED</t>
  </si>
  <si>
    <t>ADDRESS: LOT CN-01，DONG VAN IV INDUSTRIAL ZONE,LE HO WARD,NINH BINH PROVINCE, VIET NAM</t>
  </si>
  <si>
    <t>TAX NUMBER: 0700834811</t>
  </si>
  <si>
    <t>ATTN;Tina</t>
  </si>
  <si>
    <t xml:space="preserve">SELLER: TECHSEN ELECTRONICS(SHENZHEN) CO., LTD </t>
  </si>
  <si>
    <t>ADDRESS: NO.28 XIANGXING ROAD,BUYONG COMMUNITY,SHAJING STREET,BAO'AN DISTRICT,SHENZHEN CITY,CHINA.</t>
  </si>
  <si>
    <t>I. DESCRIPTIONS OF GOODS:Refer list</t>
  </si>
  <si>
    <t>NO</t>
  </si>
  <si>
    <t>DESCRIPTION OF GOODS</t>
  </si>
  <si>
    <t>QUANTITY</t>
  </si>
  <si>
    <t>UNIT</t>
  </si>
  <si>
    <t>ORIGIN</t>
  </si>
  <si>
    <t>UNIT PRICE
(USD)</t>
  </si>
  <si>
    <t>AMOUNT
(USD)</t>
  </si>
  <si>
    <t>Part no</t>
  </si>
  <si>
    <t>Line No.</t>
  </si>
  <si>
    <t>DESCR</t>
  </si>
  <si>
    <t>GX-1F30</t>
  </si>
  <si>
    <t>PCBA BOARD MOUNTED LCD TRAY FIXTURE</t>
  </si>
  <si>
    <t>PCS</t>
  </si>
  <si>
    <t>CHINA</t>
  </si>
  <si>
    <t>GX-1F31</t>
  </si>
  <si>
    <t>LOCK VR NUT FIXTURE</t>
  </si>
  <si>
    <t>GX-1F32</t>
  </si>
  <si>
    <t>TOTAL:</t>
  </si>
  <si>
    <t>II. CONDITIONS AND TRADE TERMS:</t>
  </si>
  <si>
    <t>1. Cargo is new 100%.</t>
  </si>
  <si>
    <t>2. Delivery terms: CPT NOIBAI</t>
  </si>
  <si>
    <t>3. Delivery time: in JUL</t>
  </si>
  <si>
    <t>4. Shipping method: BY AIR</t>
  </si>
  <si>
    <t>5. Packing standards: Following exporting standards</t>
  </si>
  <si>
    <t>6. Payment terms: No Payment</t>
  </si>
  <si>
    <t>7. PO has been acknowledged and signed by 02 parties and sent via email.</t>
  </si>
  <si>
    <t>ACCEPTED BY SELLER</t>
  </si>
  <si>
    <t>BUYER</t>
  </si>
  <si>
    <t>COMMERCIAL INVOICE</t>
  </si>
  <si>
    <t>SELLER:</t>
  </si>
  <si>
    <t>INVOICE NO:TS250017</t>
  </si>
  <si>
    <t xml:space="preserve">NAME: TECHSEN ELECTRONICS(SHENZHEN) CO., LTD </t>
  </si>
  <si>
    <t>INVOICE DATE:2025-07-04</t>
  </si>
  <si>
    <t>PO NO:below list</t>
  </si>
  <si>
    <t>TELL: +86 755 29698989</t>
  </si>
  <si>
    <t>PAYMENT TERMS: NO PAYMENT</t>
  </si>
  <si>
    <t>BUYER:</t>
  </si>
  <si>
    <t>DELIVERY TERMS: CPT NOIBAI</t>
  </si>
  <si>
    <t>NAME: MOONPO DEVELOPMENT(VIETNAM) LIMITED</t>
  </si>
  <si>
    <t>PORT OF LOADING: SHENZHEN</t>
  </si>
  <si>
    <r>
      <t>ADDRESS:</t>
    </r>
    <r>
      <rPr>
        <sz val="11"/>
        <color rgb="FF000000"/>
        <rFont val="Calibri"/>
        <charset val="0"/>
      </rPr>
      <t xml:space="preserve"> LOT CN-01</t>
    </r>
    <r>
      <rPr>
        <sz val="11"/>
        <color rgb="FF000000"/>
        <rFont val="宋体"/>
        <charset val="0"/>
      </rPr>
      <t>，</t>
    </r>
    <r>
      <rPr>
        <sz val="11"/>
        <color rgb="FF000000"/>
        <rFont val="Calibri"/>
        <charset val="0"/>
      </rPr>
      <t>DONG VAN IV INDUSTRIAL ZONE,LE HO WARD,NINH BINH PROVINCE, VIET NAM</t>
    </r>
  </si>
  <si>
    <t>PORT OF DISCHARGE: NOIBAI</t>
  </si>
  <si>
    <t>PORT OF TRANSIT:</t>
  </si>
  <si>
    <r>
      <rPr>
        <b/>
        <sz val="11"/>
        <color theme="1"/>
        <rFont val="Calibri"/>
        <charset val="0"/>
      </rPr>
      <t>TAX NUMBER</t>
    </r>
    <r>
      <rPr>
        <sz val="11"/>
        <color indexed="8"/>
        <rFont val="Calibri"/>
        <charset val="0"/>
      </rPr>
      <t>: 0700834811</t>
    </r>
  </si>
  <si>
    <t>ETD POL:2025-07-04</t>
  </si>
  <si>
    <t>TELL:+84 9885 16638, Email: ltlien@moonpo.com</t>
  </si>
  <si>
    <t>ETA POD:2025-07-08</t>
  </si>
  <si>
    <t>VESSEL/VOYAGE: BY AIR</t>
  </si>
  <si>
    <t>DESCRIPTIONS OF GOODS</t>
  </si>
  <si>
    <t>HS CODE</t>
  </si>
  <si>
    <t>ORIGIN OF GOODS</t>
  </si>
  <si>
    <t>PO NO.</t>
  </si>
  <si>
    <t>PO Line No.</t>
  </si>
  <si>
    <t>PART NO</t>
  </si>
  <si>
    <t>CN NAME</t>
  </si>
  <si>
    <r>
      <t>PCBA</t>
    </r>
    <r>
      <rPr>
        <sz val="10"/>
        <color theme="1"/>
        <rFont val="宋体"/>
        <charset val="134"/>
      </rPr>
      <t>装</t>
    </r>
    <r>
      <rPr>
        <sz val="10"/>
        <color theme="1"/>
        <rFont val="Arial"/>
        <charset val="134"/>
      </rPr>
      <t>LCD</t>
    </r>
    <r>
      <rPr>
        <sz val="10"/>
        <color theme="1"/>
        <rFont val="宋体"/>
        <charset val="134"/>
      </rPr>
      <t>托盘治具</t>
    </r>
  </si>
  <si>
    <r>
      <t>锁</t>
    </r>
    <r>
      <rPr>
        <sz val="10"/>
        <color theme="1"/>
        <rFont val="Arial"/>
        <charset val="134"/>
      </rPr>
      <t>VR</t>
    </r>
    <r>
      <rPr>
        <sz val="10"/>
        <color theme="1"/>
        <rFont val="宋体"/>
        <charset val="134"/>
      </rPr>
      <t>螺母治具</t>
    </r>
  </si>
  <si>
    <r>
      <t>装</t>
    </r>
    <r>
      <rPr>
        <sz val="10"/>
        <color theme="1"/>
        <rFont val="Arial"/>
        <charset val="134"/>
      </rPr>
      <t>LCD</t>
    </r>
    <r>
      <rPr>
        <sz val="10"/>
        <color theme="1"/>
        <rFont val="宋体"/>
        <charset val="134"/>
      </rPr>
      <t>贴棉治具</t>
    </r>
  </si>
  <si>
    <t>MOONPO DEVELOPMENT LIMITED</t>
  </si>
  <si>
    <t>PACKING LIST</t>
  </si>
  <si>
    <t>QUANTITY OF GOODS</t>
  </si>
  <si>
    <t>PALLET</t>
  </si>
  <si>
    <t>NO OF 
CARTON</t>
  </si>
  <si>
    <t>N/W
(KG)</t>
  </si>
  <si>
    <t>G/W
(KG)</t>
  </si>
  <si>
    <t>M3</t>
  </si>
  <si>
    <t>PO Line
 No.</t>
  </si>
  <si>
    <t>PART NO.</t>
  </si>
  <si>
    <t>/</t>
  </si>
  <si>
    <t>A01</t>
  </si>
  <si>
    <t>NO OF PACKAGE: 1 PACKAGE ONLY</t>
  </si>
</sst>
</file>

<file path=xl/styles.xml><?xml version="1.0" encoding="utf-8"?>
<styleSheet xmlns="http://schemas.openxmlformats.org/spreadsheetml/2006/main">
  <numFmts count="8">
    <numFmt numFmtId="176" formatCode="0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.00_ "/>
    <numFmt numFmtId="178" formatCode="0.0000_ "/>
    <numFmt numFmtId="179" formatCode="General* "/>
  </numFmts>
  <fonts count="5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34"/>
    </font>
    <font>
      <sz val="10"/>
      <name val="Arial"/>
      <charset val="0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name val="Arial"/>
      <charset val="0"/>
    </font>
    <font>
      <b/>
      <sz val="10"/>
      <name val="Arial"/>
      <charset val="134"/>
    </font>
    <font>
      <b/>
      <sz val="11"/>
      <name val="Arial"/>
      <charset val="134"/>
    </font>
    <font>
      <b/>
      <sz val="14"/>
      <name val="宋体"/>
      <charset val="134"/>
      <scheme val="minor"/>
    </font>
    <font>
      <b/>
      <sz val="10"/>
      <color rgb="FF0000FF"/>
      <name val="Arial"/>
      <charset val="0"/>
    </font>
    <font>
      <b/>
      <sz val="2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Calibri"/>
      <charset val="134"/>
    </font>
    <font>
      <b/>
      <sz val="11"/>
      <color theme="1"/>
      <name val="Calibri"/>
      <charset val="0"/>
    </font>
    <font>
      <u/>
      <sz val="11"/>
      <name val="宋体"/>
      <charset val="134"/>
      <scheme val="minor"/>
    </font>
    <font>
      <sz val="10"/>
      <color indexed="8"/>
      <name val="Arial"/>
      <charset val="134"/>
    </font>
    <font>
      <sz val="10"/>
      <color theme="1"/>
      <name val="宋体"/>
      <charset val="134"/>
    </font>
    <font>
      <b/>
      <sz val="11"/>
      <color theme="1"/>
      <name val="Arial"/>
      <charset val="134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4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theme="1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name val="ＭＳ Ｐゴシック"/>
      <charset val="128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0000"/>
      <name val="Calibri"/>
      <charset val="0"/>
    </font>
    <font>
      <sz val="11"/>
      <color rgb="FF000000"/>
      <name val="宋体"/>
      <charset val="0"/>
    </font>
    <font>
      <sz val="11"/>
      <color indexed="8"/>
      <name val="Calibri"/>
      <charset val="0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E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4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2" fontId="0" fillId="0" borderId="0" applyFon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6" fillId="14" borderId="4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8" borderId="43" applyNumberFormat="0" applyFon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" fillId="0" borderId="0"/>
    <xf numFmtId="0" fontId="43" fillId="0" borderId="0" applyNumberFormat="0" applyFill="0" applyBorder="0" applyAlignment="0" applyProtection="0">
      <alignment vertical="center"/>
    </xf>
    <xf numFmtId="0" fontId="45" fillId="0" borderId="44" applyNumberFormat="0" applyFill="0" applyAlignment="0" applyProtection="0">
      <alignment vertical="center"/>
    </xf>
    <xf numFmtId="0" fontId="46" fillId="0" borderId="44" applyNumberFormat="0" applyFill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6" borderId="41" applyNumberFormat="0" applyAlignment="0" applyProtection="0">
      <alignment vertical="center"/>
    </xf>
    <xf numFmtId="0" fontId="47" fillId="6" borderId="42" applyNumberFormat="0" applyAlignment="0" applyProtection="0">
      <alignment vertical="center"/>
    </xf>
    <xf numFmtId="0" fontId="48" fillId="27" borderId="46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1" fillId="0" borderId="48" applyNumberFormat="0" applyFill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0" borderId="0">
      <alignment vertical="center"/>
    </xf>
    <xf numFmtId="0" fontId="34" fillId="29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0" fillId="0" borderId="0"/>
    <xf numFmtId="0" fontId="34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42" fillId="0" borderId="0"/>
  </cellStyleXfs>
  <cellXfs count="347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center"/>
    </xf>
    <xf numFmtId="177" fontId="2" fillId="0" borderId="0" xfId="0" applyNumberFormat="1" applyFont="1" applyFill="1" applyAlignment="1">
      <alignment horizontal="right"/>
    </xf>
    <xf numFmtId="0" fontId="3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righ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/>
    <xf numFmtId="0" fontId="6" fillId="0" borderId="8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right" vertical="center"/>
    </xf>
    <xf numFmtId="0" fontId="1" fillId="0" borderId="11" xfId="0" applyFont="1" applyFill="1" applyBorder="1" applyAlignment="1"/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NumberFormat="1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6" xfId="0" applyNumberFormat="1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8" xfId="0" applyNumberFormat="1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8" xfId="0" applyNumberFormat="1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left" vertical="center"/>
    </xf>
    <xf numFmtId="0" fontId="2" fillId="0" borderId="18" xfId="0" applyNumberFormat="1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10" fillId="0" borderId="9" xfId="0" applyNumberFormat="1" applyFont="1" applyFill="1" applyBorder="1" applyAlignment="1">
      <alignment horizontal="right"/>
    </xf>
    <xf numFmtId="3" fontId="9" fillId="0" borderId="9" xfId="0" applyNumberFormat="1" applyFont="1" applyFill="1" applyBorder="1" applyAlignment="1">
      <alignment horizontal="center"/>
    </xf>
    <xf numFmtId="3" fontId="9" fillId="0" borderId="9" xfId="0" applyNumberFormat="1" applyFont="1" applyFill="1" applyBorder="1" applyAlignment="1"/>
    <xf numFmtId="0" fontId="11" fillId="0" borderId="5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2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/>
    <xf numFmtId="0" fontId="12" fillId="0" borderId="0" xfId="0" applyNumberFormat="1" applyFont="1" applyFill="1" applyBorder="1" applyAlignment="1">
      <alignment horizontal="right" vertical="center" wrapText="1"/>
    </xf>
    <xf numFmtId="0" fontId="1" fillId="0" borderId="19" xfId="0" applyFont="1" applyFill="1" applyBorder="1"/>
    <xf numFmtId="0" fontId="1" fillId="0" borderId="20" xfId="0" applyFont="1" applyFill="1" applyBorder="1"/>
    <xf numFmtId="0" fontId="1" fillId="0" borderId="20" xfId="0" applyFont="1" applyFill="1" applyBorder="1" applyAlignment="1">
      <alignment horizontal="center"/>
    </xf>
    <xf numFmtId="0" fontId="1" fillId="0" borderId="20" xfId="0" applyNumberFormat="1" applyFont="1" applyFill="1" applyBorder="1" applyAlignment="1">
      <alignment horizontal="right"/>
    </xf>
    <xf numFmtId="0" fontId="10" fillId="0" borderId="2" xfId="0" applyFont="1" applyFill="1" applyBorder="1" applyAlignment="1">
      <alignment horizontal="center" vertical="center"/>
    </xf>
    <xf numFmtId="177" fontId="10" fillId="0" borderId="2" xfId="0" applyNumberFormat="1" applyFont="1" applyFill="1" applyBorder="1" applyAlignment="1">
      <alignment horizontal="right" vertical="center"/>
    </xf>
    <xf numFmtId="0" fontId="9" fillId="0" borderId="2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vertical="center"/>
    </xf>
    <xf numFmtId="177" fontId="6" fillId="0" borderId="4" xfId="0" applyNumberFormat="1" applyFont="1" applyFill="1" applyBorder="1" applyAlignment="1">
      <alignment vertical="center"/>
    </xf>
    <xf numFmtId="0" fontId="6" fillId="0" borderId="23" xfId="0" applyFont="1" applyFill="1" applyBorder="1" applyAlignment="1">
      <alignment vertical="center"/>
    </xf>
    <xf numFmtId="0" fontId="1" fillId="0" borderId="24" xfId="0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0" fontId="1" fillId="0" borderId="25" xfId="0" applyFont="1" applyFill="1" applyBorder="1" applyAlignment="1">
      <alignment vertical="center"/>
    </xf>
    <xf numFmtId="177" fontId="6" fillId="0" borderId="0" xfId="0" applyNumberFormat="1" applyFont="1" applyFill="1" applyBorder="1" applyAlignment="1">
      <alignment vertical="center"/>
    </xf>
    <xf numFmtId="0" fontId="6" fillId="0" borderId="25" xfId="0" applyFont="1" applyFill="1" applyBorder="1" applyAlignment="1">
      <alignment vertical="center"/>
    </xf>
    <xf numFmtId="0" fontId="1" fillId="0" borderId="24" xfId="0" applyFont="1" applyFill="1" applyBorder="1" applyAlignment="1"/>
    <xf numFmtId="177" fontId="1" fillId="0" borderId="0" xfId="0" applyNumberFormat="1" applyFont="1" applyFill="1" applyBorder="1" applyAlignment="1"/>
    <xf numFmtId="0" fontId="1" fillId="0" borderId="25" xfId="0" applyFont="1" applyFill="1" applyBorder="1" applyAlignment="1"/>
    <xf numFmtId="0" fontId="1" fillId="0" borderId="10" xfId="0" applyFont="1" applyFill="1" applyBorder="1" applyAlignment="1"/>
    <xf numFmtId="177" fontId="1" fillId="0" borderId="11" xfId="0" applyNumberFormat="1" applyFont="1" applyFill="1" applyBorder="1" applyAlignment="1"/>
    <xf numFmtId="0" fontId="1" fillId="0" borderId="26" xfId="0" applyFont="1" applyFill="1" applyBorder="1" applyAlignment="1"/>
    <xf numFmtId="0" fontId="9" fillId="0" borderId="26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/>
    </xf>
    <xf numFmtId="0" fontId="2" fillId="0" borderId="18" xfId="0" applyNumberFormat="1" applyFont="1" applyFill="1" applyBorder="1" applyAlignment="1">
      <alignment horizontal="left" vertical="center"/>
    </xf>
    <xf numFmtId="177" fontId="2" fillId="0" borderId="18" xfId="0" applyNumberFormat="1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3" fillId="0" borderId="26" xfId="0" applyFont="1" applyFill="1" applyBorder="1" applyAlignment="1">
      <alignment horizontal="center" vertical="center" wrapText="1"/>
    </xf>
    <xf numFmtId="177" fontId="3" fillId="0" borderId="18" xfId="0" applyNumberFormat="1" applyFont="1" applyFill="1" applyBorder="1" applyAlignment="1">
      <alignment horizontal="left" vertical="center"/>
    </xf>
    <xf numFmtId="0" fontId="13" fillId="0" borderId="9" xfId="0" applyFont="1" applyFill="1" applyBorder="1" applyAlignment="1">
      <alignment horizontal="center" wrapText="1"/>
    </xf>
    <xf numFmtId="177" fontId="9" fillId="0" borderId="9" xfId="0" applyNumberFormat="1" applyFont="1" applyFill="1" applyBorder="1" applyAlignment="1">
      <alignment horizontal="right"/>
    </xf>
    <xf numFmtId="177" fontId="9" fillId="0" borderId="9" xfId="0" applyNumberFormat="1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center" vertical="center" wrapText="1"/>
    </xf>
    <xf numFmtId="177" fontId="10" fillId="0" borderId="0" xfId="0" applyNumberFormat="1" applyFont="1" applyFill="1" applyBorder="1" applyAlignment="1">
      <alignment horizontal="right" vertical="center" wrapText="1"/>
    </xf>
    <xf numFmtId="0" fontId="9" fillId="0" borderId="23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177" fontId="2" fillId="0" borderId="0" xfId="0" applyNumberFormat="1" applyFont="1" applyFill="1" applyBorder="1" applyAlignment="1">
      <alignment horizontal="right"/>
    </xf>
    <xf numFmtId="0" fontId="3" fillId="0" borderId="25" xfId="0" applyFont="1" applyFill="1" applyBorder="1"/>
    <xf numFmtId="0" fontId="2" fillId="0" borderId="20" xfId="0" applyFont="1" applyFill="1" applyBorder="1" applyAlignment="1">
      <alignment horizontal="center"/>
    </xf>
    <xf numFmtId="177" fontId="2" fillId="0" borderId="20" xfId="0" applyNumberFormat="1" applyFont="1" applyFill="1" applyBorder="1" applyAlignment="1">
      <alignment horizontal="right"/>
    </xf>
    <xf numFmtId="0" fontId="3" fillId="0" borderId="27" xfId="0" applyFont="1" applyFill="1" applyBorder="1"/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right"/>
    </xf>
    <xf numFmtId="178" fontId="0" fillId="0" borderId="0" xfId="0" applyNumberFormat="1" applyFill="1" applyAlignment="1">
      <alignment horizontal="right"/>
    </xf>
    <xf numFmtId="0" fontId="14" fillId="0" borderId="28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vertical="center"/>
    </xf>
    <xf numFmtId="0" fontId="7" fillId="0" borderId="7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7" fillId="0" borderId="7" xfId="0" applyFont="1" applyFill="1" applyBorder="1" applyAlignment="1">
      <alignment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right" vertical="center"/>
    </xf>
    <xf numFmtId="0" fontId="18" fillId="0" borderId="7" xfId="1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7" fillId="0" borderId="30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7" fillId="0" borderId="31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 wrapText="1"/>
    </xf>
    <xf numFmtId="0" fontId="19" fillId="0" borderId="9" xfId="0" applyFont="1" applyFill="1" applyBorder="1" applyAlignment="1"/>
    <xf numFmtId="0" fontId="8" fillId="0" borderId="18" xfId="0" applyFont="1" applyFill="1" applyBorder="1" applyAlignment="1">
      <alignment horizontal="left" wrapText="1"/>
    </xf>
    <xf numFmtId="0" fontId="20" fillId="0" borderId="18" xfId="0" applyFont="1" applyFill="1" applyBorder="1" applyAlignment="1">
      <alignment horizontal="left" wrapText="1"/>
    </xf>
    <xf numFmtId="0" fontId="2" fillId="0" borderId="3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1" fillId="0" borderId="0" xfId="0" applyFont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/>
    <xf numFmtId="0" fontId="0" fillId="0" borderId="0" xfId="0" applyFill="1" applyBorder="1"/>
    <xf numFmtId="0" fontId="22" fillId="0" borderId="0" xfId="0" applyFont="1" applyFill="1" applyAlignment="1"/>
    <xf numFmtId="0" fontId="0" fillId="0" borderId="19" xfId="0" applyFill="1" applyBorder="1"/>
    <xf numFmtId="0" fontId="0" fillId="0" borderId="20" xfId="0" applyFill="1" applyBorder="1"/>
    <xf numFmtId="0" fontId="0" fillId="0" borderId="20" xfId="0" applyFill="1" applyBorder="1" applyAlignment="1">
      <alignment horizontal="center"/>
    </xf>
    <xf numFmtId="0" fontId="4" fillId="0" borderId="29" xfId="0" applyFont="1" applyFill="1" applyBorder="1" applyAlignment="1">
      <alignment horizontal="right" vertical="center"/>
    </xf>
    <xf numFmtId="178" fontId="14" fillId="0" borderId="29" xfId="0" applyNumberFormat="1" applyFont="1" applyFill="1" applyBorder="1" applyAlignment="1">
      <alignment horizontal="right" vertical="center"/>
    </xf>
    <xf numFmtId="178" fontId="14" fillId="0" borderId="33" xfId="0" applyNumberFormat="1" applyFont="1" applyFill="1" applyBorder="1" applyAlignment="1">
      <alignment horizontal="right" vertical="center"/>
    </xf>
    <xf numFmtId="0" fontId="6" fillId="0" borderId="34" xfId="0" applyFont="1" applyFill="1" applyBorder="1" applyAlignment="1">
      <alignment horizontal="right" vertical="center"/>
    </xf>
    <xf numFmtId="0" fontId="0" fillId="2" borderId="22" xfId="0" applyFont="1" applyFill="1" applyBorder="1" applyAlignment="1">
      <alignment horizontal="left" vertical="center"/>
    </xf>
    <xf numFmtId="178" fontId="0" fillId="2" borderId="4" xfId="0" applyNumberFormat="1" applyFont="1" applyFill="1" applyBorder="1" applyAlignment="1">
      <alignment horizontal="left" vertical="center"/>
    </xf>
    <xf numFmtId="178" fontId="0" fillId="2" borderId="23" xfId="0" applyNumberFormat="1" applyFont="1" applyFill="1" applyBorder="1" applyAlignment="1">
      <alignment horizontal="left" vertical="center"/>
    </xf>
    <xf numFmtId="0" fontId="6" fillId="0" borderId="35" xfId="0" applyFont="1" applyFill="1" applyBorder="1" applyAlignment="1">
      <alignment horizontal="right" vertical="center"/>
    </xf>
    <xf numFmtId="14" fontId="0" fillId="2" borderId="24" xfId="0" applyNumberFormat="1" applyFont="1" applyFill="1" applyBorder="1" applyAlignment="1">
      <alignment horizontal="left" vertical="center" wrapText="1"/>
    </xf>
    <xf numFmtId="178" fontId="0" fillId="2" borderId="0" xfId="0" applyNumberFormat="1" applyFont="1" applyFill="1" applyBorder="1" applyAlignment="1">
      <alignment horizontal="left" vertical="center"/>
    </xf>
    <xf numFmtId="178" fontId="0" fillId="2" borderId="25" xfId="0" applyNumberFormat="1" applyFont="1" applyFill="1" applyBorder="1" applyAlignment="1">
      <alignment horizontal="left" vertical="center"/>
    </xf>
    <xf numFmtId="0" fontId="6" fillId="0" borderId="35" xfId="0" applyFont="1" applyFill="1" applyBorder="1" applyAlignment="1">
      <alignment horizontal="right" vertical="center" wrapText="1"/>
    </xf>
    <xf numFmtId="0" fontId="0" fillId="0" borderId="24" xfId="0" applyFont="1" applyFill="1" applyBorder="1" applyAlignment="1">
      <alignment horizontal="left" vertical="center"/>
    </xf>
    <xf numFmtId="178" fontId="0" fillId="0" borderId="0" xfId="0" applyNumberFormat="1" applyFont="1" applyFill="1" applyBorder="1" applyAlignment="1">
      <alignment horizontal="left" vertical="center"/>
    </xf>
    <xf numFmtId="178" fontId="0" fillId="0" borderId="25" xfId="0" applyNumberFormat="1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right" vertical="center" wrapText="1"/>
    </xf>
    <xf numFmtId="0" fontId="0" fillId="3" borderId="24" xfId="0" applyFill="1" applyBorder="1" applyAlignment="1">
      <alignment horizontal="left" vertical="center"/>
    </xf>
    <xf numFmtId="178" fontId="0" fillId="3" borderId="0" xfId="0" applyNumberFormat="1" applyFill="1" applyBorder="1" applyAlignment="1">
      <alignment horizontal="left" vertical="center"/>
    </xf>
    <xf numFmtId="178" fontId="0" fillId="3" borderId="25" xfId="0" applyNumberFormat="1" applyFill="1" applyBorder="1" applyAlignment="1">
      <alignment horizontal="left" vertical="center"/>
    </xf>
    <xf numFmtId="0" fontId="1" fillId="0" borderId="34" xfId="0" applyFont="1" applyFill="1" applyBorder="1" applyAlignment="1">
      <alignment horizontal="right" vertical="center"/>
    </xf>
    <xf numFmtId="0" fontId="0" fillId="0" borderId="24" xfId="0" applyFill="1" applyBorder="1" applyAlignment="1">
      <alignment horizontal="left" vertical="center"/>
    </xf>
    <xf numFmtId="178" fontId="0" fillId="0" borderId="0" xfId="0" applyNumberFormat="1" applyFill="1" applyBorder="1" applyAlignment="1">
      <alignment horizontal="left" vertical="center"/>
    </xf>
    <xf numFmtId="178" fontId="0" fillId="0" borderId="25" xfId="0" applyNumberFormat="1" applyFill="1" applyBorder="1" applyAlignment="1">
      <alignment horizontal="left" vertical="center"/>
    </xf>
    <xf numFmtId="0" fontId="1" fillId="0" borderId="35" xfId="0" applyFont="1" applyFill="1" applyBorder="1" applyAlignment="1">
      <alignment horizontal="right" vertical="center"/>
    </xf>
    <xf numFmtId="0" fontId="0" fillId="3" borderId="2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right" vertical="center"/>
    </xf>
    <xf numFmtId="0" fontId="1" fillId="0" borderId="32" xfId="0" applyFont="1" applyFill="1" applyBorder="1" applyAlignment="1">
      <alignment horizontal="right"/>
    </xf>
    <xf numFmtId="0" fontId="0" fillId="0" borderId="9" xfId="0" applyFill="1" applyBorder="1" applyAlignment="1">
      <alignment horizontal="center" vertical="center"/>
    </xf>
    <xf numFmtId="178" fontId="0" fillId="0" borderId="9" xfId="0" applyNumberFormat="1" applyFill="1" applyBorder="1" applyAlignment="1">
      <alignment horizontal="right" vertical="center"/>
    </xf>
    <xf numFmtId="178" fontId="0" fillId="0" borderId="36" xfId="0" applyNumberFormat="1" applyFill="1" applyBorder="1" applyAlignment="1">
      <alignment horizontal="right" vertical="center"/>
    </xf>
    <xf numFmtId="0" fontId="7" fillId="0" borderId="15" xfId="0" applyFont="1" applyFill="1" applyBorder="1" applyAlignment="1">
      <alignment horizontal="center" vertical="center"/>
    </xf>
    <xf numFmtId="178" fontId="7" fillId="0" borderId="15" xfId="0" applyNumberFormat="1" applyFont="1" applyFill="1" applyBorder="1" applyAlignment="1">
      <alignment horizontal="center" vertical="center" wrapText="1"/>
    </xf>
    <xf numFmtId="178" fontId="7" fillId="0" borderId="37" xfId="0" applyNumberFormat="1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178" fontId="7" fillId="0" borderId="18" xfId="0" applyNumberFormat="1" applyFont="1" applyFill="1" applyBorder="1" applyAlignment="1">
      <alignment horizontal="center" vertical="center" wrapText="1"/>
    </xf>
    <xf numFmtId="178" fontId="7" fillId="0" borderId="38" xfId="0" applyNumberFormat="1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  <xf numFmtId="178" fontId="8" fillId="0" borderId="18" xfId="0" applyNumberFormat="1" applyFont="1" applyFill="1" applyBorder="1" applyAlignment="1">
      <alignment horizontal="right" wrapText="1"/>
    </xf>
    <xf numFmtId="178" fontId="8" fillId="0" borderId="38" xfId="0" applyNumberFormat="1" applyFont="1" applyFill="1" applyBorder="1" applyAlignment="1">
      <alignment horizontal="right" wrapText="1"/>
    </xf>
    <xf numFmtId="0" fontId="2" fillId="0" borderId="9" xfId="0" applyNumberFormat="1" applyFont="1" applyFill="1" applyBorder="1" applyAlignment="1">
      <alignment horizontal="right"/>
    </xf>
    <xf numFmtId="0" fontId="3" fillId="0" borderId="9" xfId="0" applyFont="1" applyFill="1" applyBorder="1" applyAlignment="1">
      <alignment horizontal="center" wrapText="1"/>
    </xf>
    <xf numFmtId="178" fontId="2" fillId="0" borderId="9" xfId="0" applyNumberFormat="1" applyFont="1" applyFill="1" applyBorder="1" applyAlignment="1">
      <alignment horizontal="right"/>
    </xf>
    <xf numFmtId="177" fontId="3" fillId="0" borderId="36" xfId="0" applyNumberFormat="1" applyFont="1" applyFill="1" applyBorder="1" applyAlignment="1" applyProtection="1">
      <alignment horizontal="right"/>
    </xf>
    <xf numFmtId="0" fontId="12" fillId="0" borderId="4" xfId="0" applyFont="1" applyFill="1" applyBorder="1" applyAlignment="1">
      <alignment horizontal="right" vertical="center" wrapText="1"/>
    </xf>
    <xf numFmtId="0" fontId="22" fillId="0" borderId="4" xfId="0" applyFont="1" applyFill="1" applyBorder="1" applyAlignment="1">
      <alignment horizontal="center" vertical="center" wrapText="1"/>
    </xf>
    <xf numFmtId="178" fontId="22" fillId="0" borderId="4" xfId="0" applyNumberFormat="1" applyFont="1" applyFill="1" applyBorder="1" applyAlignment="1">
      <alignment horizontal="right" vertical="center" wrapText="1"/>
    </xf>
    <xf numFmtId="178" fontId="22" fillId="0" borderId="25" xfId="0" applyNumberFormat="1" applyFont="1" applyFill="1" applyBorder="1" applyAlignment="1">
      <alignment horizontal="right" vertical="center" wrapText="1"/>
    </xf>
    <xf numFmtId="0" fontId="22" fillId="0" borderId="0" xfId="0" applyFont="1" applyFill="1" applyAlignment="1">
      <alignment horizontal="right"/>
    </xf>
    <xf numFmtId="0" fontId="12" fillId="0" borderId="25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right" vertical="center" wrapText="1"/>
    </xf>
    <xf numFmtId="0" fontId="22" fillId="0" borderId="0" xfId="0" applyFont="1" applyFill="1" applyBorder="1" applyAlignment="1">
      <alignment horizontal="center" vertical="center" wrapText="1"/>
    </xf>
    <xf numFmtId="178" fontId="22" fillId="0" borderId="0" xfId="0" applyNumberFormat="1" applyFont="1" applyFill="1" applyBorder="1" applyAlignment="1">
      <alignment horizontal="right" vertical="center" wrapText="1"/>
    </xf>
    <xf numFmtId="0" fontId="12" fillId="0" borderId="20" xfId="0" applyFont="1" applyFill="1" applyBorder="1" applyAlignment="1">
      <alignment horizontal="right" vertical="center" wrapText="1"/>
    </xf>
    <xf numFmtId="0" fontId="22" fillId="0" borderId="20" xfId="0" applyFont="1" applyFill="1" applyBorder="1" applyAlignment="1">
      <alignment horizontal="center" vertical="center" wrapText="1"/>
    </xf>
    <xf numFmtId="178" fontId="22" fillId="0" borderId="20" xfId="0" applyNumberFormat="1" applyFont="1" applyFill="1" applyBorder="1" applyAlignment="1">
      <alignment horizontal="right" vertical="center" wrapText="1"/>
    </xf>
    <xf numFmtId="178" fontId="22" fillId="0" borderId="27" xfId="0" applyNumberFormat="1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right"/>
    </xf>
    <xf numFmtId="178" fontId="0" fillId="0" borderId="0" xfId="0" applyNumberFormat="1" applyFill="1" applyBorder="1" applyAlignment="1">
      <alignment horizontal="right"/>
    </xf>
    <xf numFmtId="0" fontId="0" fillId="0" borderId="0" xfId="0" applyFill="1" applyAlignment="1"/>
    <xf numFmtId="0" fontId="23" fillId="0" borderId="0" xfId="0" applyFont="1" applyFill="1" applyAlignment="1"/>
    <xf numFmtId="0" fontId="22" fillId="0" borderId="1" xfId="49" applyFont="1" applyBorder="1" applyAlignment="1">
      <alignment horizontal="center" vertical="center"/>
    </xf>
    <xf numFmtId="0" fontId="22" fillId="0" borderId="2" xfId="49" applyFont="1" applyBorder="1" applyAlignment="1">
      <alignment horizontal="center" vertical="center"/>
    </xf>
    <xf numFmtId="0" fontId="23" fillId="0" borderId="5" xfId="49" applyFont="1" applyBorder="1"/>
    <xf numFmtId="0" fontId="23" fillId="0" borderId="0" xfId="49" applyFont="1" applyBorder="1"/>
    <xf numFmtId="0" fontId="23" fillId="0" borderId="0" xfId="49" applyFont="1" applyBorder="1" applyAlignment="1">
      <alignment horizontal="left"/>
    </xf>
    <xf numFmtId="0" fontId="24" fillId="0" borderId="0" xfId="49" applyFont="1" applyBorder="1"/>
    <xf numFmtId="179" fontId="25" fillId="4" borderId="0" xfId="49" applyNumberFormat="1" applyFont="1" applyFill="1" applyBorder="1" applyAlignment="1">
      <alignment horizontal="right"/>
    </xf>
    <xf numFmtId="0" fontId="23" fillId="4" borderId="0" xfId="49" applyFont="1" applyFill="1" applyBorder="1" applyAlignment="1">
      <alignment horizontal="justify"/>
    </xf>
    <xf numFmtId="0" fontId="23" fillId="4" borderId="0" xfId="49" applyFont="1" applyFill="1" applyBorder="1" applyAlignment="1">
      <alignment horizontal="right"/>
    </xf>
    <xf numFmtId="14" fontId="23" fillId="4" borderId="0" xfId="49" applyNumberFormat="1" applyFont="1" applyFill="1" applyBorder="1" applyAlignment="1">
      <alignment horizontal="justify"/>
    </xf>
    <xf numFmtId="0" fontId="26" fillId="0" borderId="3" xfId="49" applyFont="1" applyBorder="1" applyAlignment="1">
      <alignment horizontal="left"/>
    </xf>
    <xf numFmtId="0" fontId="26" fillId="0" borderId="4" xfId="49" applyFont="1" applyBorder="1"/>
    <xf numFmtId="0" fontId="26" fillId="0" borderId="4" xfId="49" applyFont="1" applyBorder="1" applyAlignment="1">
      <alignment horizontal="left"/>
    </xf>
    <xf numFmtId="0" fontId="24" fillId="0" borderId="4" xfId="49" applyFont="1" applyBorder="1"/>
    <xf numFmtId="0" fontId="23" fillId="0" borderId="4" xfId="49" applyFont="1" applyBorder="1" applyAlignment="1">
      <alignment horizontal="center"/>
    </xf>
    <xf numFmtId="0" fontId="23" fillId="0" borderId="4" xfId="49" applyFont="1" applyBorder="1" applyAlignment="1">
      <alignment horizontal="justify"/>
    </xf>
    <xf numFmtId="0" fontId="23" fillId="0" borderId="5" xfId="49" applyFont="1" applyBorder="1" applyAlignment="1">
      <alignment horizontal="left" vertical="center"/>
    </xf>
    <xf numFmtId="0" fontId="23" fillId="0" borderId="0" xfId="49" applyFont="1" applyBorder="1" applyAlignment="1">
      <alignment horizontal="left" vertical="center" wrapText="1"/>
    </xf>
    <xf numFmtId="0" fontId="24" fillId="0" borderId="0" xfId="49" applyFont="1" applyBorder="1" applyAlignment="1">
      <alignment horizontal="left" vertical="center" wrapText="1"/>
    </xf>
    <xf numFmtId="0" fontId="23" fillId="0" borderId="0" xfId="49" applyFont="1" applyBorder="1" applyAlignment="1">
      <alignment horizontal="center" vertical="center" wrapText="1"/>
    </xf>
    <xf numFmtId="0" fontId="23" fillId="0" borderId="0" xfId="49" applyFont="1" applyBorder="1" applyAlignment="1">
      <alignment horizontal="justify" vertical="center" wrapText="1"/>
    </xf>
    <xf numFmtId="0" fontId="23" fillId="0" borderId="5" xfId="49" applyFont="1" applyBorder="1" applyAlignment="1">
      <alignment horizontal="left"/>
    </xf>
    <xf numFmtId="0" fontId="23" fillId="0" borderId="0" xfId="49" applyFont="1" applyBorder="1" applyAlignment="1">
      <alignment horizontal="center"/>
    </xf>
    <xf numFmtId="0" fontId="23" fillId="0" borderId="0" xfId="49" applyFont="1" applyBorder="1" applyAlignment="1">
      <alignment horizontal="justify"/>
    </xf>
    <xf numFmtId="0" fontId="23" fillId="0" borderId="6" xfId="49" applyFont="1" applyBorder="1" applyAlignment="1">
      <alignment horizontal="left"/>
    </xf>
    <xf numFmtId="0" fontId="23" fillId="0" borderId="7" xfId="49" applyFont="1" applyBorder="1"/>
    <xf numFmtId="0" fontId="23" fillId="0" borderId="7" xfId="49" applyFont="1" applyBorder="1" applyAlignment="1">
      <alignment horizontal="left"/>
    </xf>
    <xf numFmtId="0" fontId="24" fillId="0" borderId="7" xfId="49" applyFont="1" applyBorder="1"/>
    <xf numFmtId="0" fontId="23" fillId="0" borderId="7" xfId="49" applyFont="1" applyBorder="1" applyAlignment="1">
      <alignment horizontal="center"/>
    </xf>
    <xf numFmtId="0" fontId="23" fillId="0" borderId="7" xfId="49" applyFont="1" applyBorder="1" applyAlignment="1">
      <alignment horizontal="justify"/>
    </xf>
    <xf numFmtId="0" fontId="26" fillId="0" borderId="3" xfId="49" applyFont="1" applyBorder="1" applyAlignment="1">
      <alignment horizontal="left" vertical="center"/>
    </xf>
    <xf numFmtId="0" fontId="26" fillId="0" borderId="4" xfId="49" applyFont="1" applyBorder="1" applyAlignment="1">
      <alignment vertical="center"/>
    </xf>
    <xf numFmtId="0" fontId="26" fillId="0" borderId="4" xfId="49" applyFont="1" applyBorder="1" applyAlignment="1">
      <alignment horizontal="left" vertical="center"/>
    </xf>
    <xf numFmtId="0" fontId="24" fillId="0" borderId="4" xfId="49" applyFont="1" applyBorder="1" applyAlignment="1">
      <alignment vertical="center"/>
    </xf>
    <xf numFmtId="0" fontId="23" fillId="0" borderId="4" xfId="49" applyFont="1" applyBorder="1" applyAlignment="1">
      <alignment horizontal="center" vertical="center"/>
    </xf>
    <xf numFmtId="0" fontId="23" fillId="0" borderId="4" xfId="49" applyFont="1" applyBorder="1" applyAlignment="1">
      <alignment horizontal="justify" vertical="center"/>
    </xf>
    <xf numFmtId="0" fontId="23" fillId="0" borderId="6" xfId="49" applyFont="1" applyBorder="1" applyAlignment="1">
      <alignment vertical="center"/>
    </xf>
    <xf numFmtId="0" fontId="23" fillId="0" borderId="7" xfId="49" applyFont="1" applyBorder="1" applyAlignment="1">
      <alignment horizontal="left" vertical="center" wrapText="1"/>
    </xf>
    <xf numFmtId="0" fontId="24" fillId="0" borderId="7" xfId="49" applyFont="1" applyBorder="1" applyAlignment="1">
      <alignment horizontal="left" vertical="center" wrapText="1"/>
    </xf>
    <xf numFmtId="0" fontId="23" fillId="0" borderId="7" xfId="49" applyFont="1" applyBorder="1" applyAlignment="1">
      <alignment horizontal="center" vertical="center" wrapText="1"/>
    </xf>
    <xf numFmtId="0" fontId="23" fillId="0" borderId="7" xfId="49" applyFont="1" applyBorder="1" applyAlignment="1">
      <alignment horizontal="justify" vertical="center" wrapText="1"/>
    </xf>
    <xf numFmtId="0" fontId="26" fillId="0" borderId="5" xfId="49" applyFont="1" applyBorder="1" applyAlignment="1">
      <alignment vertical="center"/>
    </xf>
    <xf numFmtId="0" fontId="23" fillId="0" borderId="0" xfId="49" applyFont="1" applyBorder="1" applyAlignment="1">
      <alignment vertical="center"/>
    </xf>
    <xf numFmtId="0" fontId="23" fillId="0" borderId="0" xfId="49" applyFont="1" applyBorder="1" applyAlignment="1">
      <alignment horizontal="left" vertical="center"/>
    </xf>
    <xf numFmtId="0" fontId="24" fillId="0" borderId="0" xfId="49" applyFont="1" applyBorder="1" applyAlignment="1">
      <alignment vertical="center"/>
    </xf>
    <xf numFmtId="0" fontId="23" fillId="0" borderId="0" xfId="49" applyFont="1" applyBorder="1" applyAlignment="1">
      <alignment horizontal="center" vertical="center"/>
    </xf>
    <xf numFmtId="0" fontId="23" fillId="0" borderId="0" xfId="49" applyFont="1" applyBorder="1" applyAlignment="1">
      <alignment horizontal="justify" vertical="center"/>
    </xf>
    <xf numFmtId="0" fontId="26" fillId="0" borderId="31" xfId="49" applyFont="1" applyBorder="1" applyAlignment="1">
      <alignment horizontal="center" vertical="center"/>
    </xf>
    <xf numFmtId="0" fontId="26" fillId="0" borderId="10" xfId="49" applyFont="1" applyBorder="1" applyAlignment="1">
      <alignment horizontal="center" vertical="center" wrapText="1"/>
    </xf>
    <xf numFmtId="0" fontId="26" fillId="0" borderId="11" xfId="49" applyFont="1" applyBorder="1" applyAlignment="1">
      <alignment horizontal="center" vertical="center" wrapText="1"/>
    </xf>
    <xf numFmtId="0" fontId="26" fillId="0" borderId="11" xfId="49" applyFont="1" applyBorder="1" applyAlignment="1">
      <alignment horizontal="left" vertical="center" wrapText="1"/>
    </xf>
    <xf numFmtId="0" fontId="27" fillId="0" borderId="16" xfId="49" applyFont="1" applyBorder="1" applyAlignment="1">
      <alignment horizontal="center" vertical="center"/>
    </xf>
    <xf numFmtId="0" fontId="26" fillId="0" borderId="16" xfId="49" applyFont="1" applyBorder="1" applyAlignment="1">
      <alignment horizontal="center" vertical="center"/>
    </xf>
    <xf numFmtId="0" fontId="26" fillId="0" borderId="16" xfId="49" applyFont="1" applyBorder="1" applyAlignment="1">
      <alignment horizontal="center" vertical="center" wrapText="1"/>
    </xf>
    <xf numFmtId="0" fontId="26" fillId="0" borderId="17" xfId="49" applyFont="1" applyBorder="1" applyAlignment="1">
      <alignment horizontal="center" vertical="center"/>
    </xf>
    <xf numFmtId="0" fontId="26" fillId="0" borderId="9" xfId="49" applyFont="1" applyBorder="1" applyAlignment="1">
      <alignment horizontal="center" vertical="center" wrapText="1"/>
    </xf>
    <xf numFmtId="0" fontId="27" fillId="0" borderId="9" xfId="49" applyFont="1" applyBorder="1" applyAlignment="1">
      <alignment horizontal="center" vertical="center" wrapText="1"/>
    </xf>
    <xf numFmtId="0" fontId="27" fillId="0" borderId="18" xfId="49" applyFont="1" applyBorder="1" applyAlignment="1">
      <alignment horizontal="center" vertical="center"/>
    </xf>
    <xf numFmtId="0" fontId="26" fillId="0" borderId="18" xfId="49" applyFont="1" applyBorder="1" applyAlignment="1">
      <alignment horizontal="center" vertical="center"/>
    </xf>
    <xf numFmtId="0" fontId="26" fillId="0" borderId="18" xfId="49" applyFont="1" applyBorder="1" applyAlignment="1">
      <alignment horizontal="center" vertical="center" wrapText="1"/>
    </xf>
    <xf numFmtId="0" fontId="8" fillId="0" borderId="17" xfId="49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vertical="center"/>
    </xf>
    <xf numFmtId="0" fontId="2" fillId="0" borderId="18" xfId="0" applyFont="1" applyFill="1" applyBorder="1" applyAlignment="1">
      <alignment horizontal="center" vertical="center"/>
    </xf>
    <xf numFmtId="0" fontId="8" fillId="0" borderId="18" xfId="49" applyFont="1" applyFill="1" applyBorder="1" applyAlignment="1">
      <alignment horizontal="left" vertical="center"/>
    </xf>
    <xf numFmtId="0" fontId="8" fillId="0" borderId="18" xfId="0" applyFont="1" applyFill="1" applyBorder="1" applyAlignment="1">
      <alignment horizontal="left" vertical="center" wrapText="1"/>
    </xf>
    <xf numFmtId="178" fontId="8" fillId="0" borderId="18" xfId="0" applyNumberFormat="1" applyFont="1" applyFill="1" applyBorder="1" applyAlignment="1">
      <alignment horizontal="right" vertical="center" wrapText="1"/>
    </xf>
    <xf numFmtId="0" fontId="3" fillId="0" borderId="3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176" fontId="2" fillId="0" borderId="9" xfId="49" applyNumberFormat="1" applyFont="1" applyBorder="1" applyAlignment="1">
      <alignment horizontal="center" vertical="center"/>
    </xf>
    <xf numFmtId="0" fontId="8" fillId="0" borderId="9" xfId="49" applyFont="1" applyBorder="1" applyAlignment="1">
      <alignment horizontal="center" vertical="center"/>
    </xf>
    <xf numFmtId="4" fontId="8" fillId="0" borderId="9" xfId="49" applyNumberFormat="1" applyFont="1" applyBorder="1" applyAlignment="1">
      <alignment horizontal="center" vertical="center"/>
    </xf>
    <xf numFmtId="4" fontId="8" fillId="0" borderId="9" xfId="49" applyNumberFormat="1" applyFont="1" applyBorder="1" applyAlignment="1">
      <alignment horizontal="justify" vertical="center"/>
    </xf>
    <xf numFmtId="0" fontId="26" fillId="0" borderId="5" xfId="49" applyFont="1" applyBorder="1"/>
    <xf numFmtId="0" fontId="23" fillId="3" borderId="0" xfId="49" applyFont="1" applyFill="1" applyBorder="1"/>
    <xf numFmtId="0" fontId="7" fillId="0" borderId="5" xfId="49" applyFont="1" applyBorder="1" applyAlignment="1">
      <alignment horizontal="center"/>
    </xf>
    <xf numFmtId="0" fontId="7" fillId="0" borderId="0" xfId="49" applyFont="1" applyBorder="1" applyAlignment="1">
      <alignment horizontal="center"/>
    </xf>
    <xf numFmtId="0" fontId="7" fillId="0" borderId="0" xfId="49" applyFont="1" applyBorder="1" applyAlignment="1">
      <alignment horizontal="left"/>
    </xf>
    <xf numFmtId="0" fontId="28" fillId="0" borderId="0" xfId="49" applyFont="1" applyBorder="1"/>
    <xf numFmtId="0" fontId="29" fillId="0" borderId="5" xfId="49" applyFont="1" applyBorder="1"/>
    <xf numFmtId="0" fontId="29" fillId="0" borderId="0" xfId="49" applyFont="1" applyBorder="1"/>
    <xf numFmtId="0" fontId="29" fillId="0" borderId="0" xfId="49" applyFont="1" applyBorder="1" applyAlignment="1">
      <alignment horizontal="left"/>
    </xf>
    <xf numFmtId="0" fontId="30" fillId="0" borderId="0" xfId="49" applyFont="1" applyBorder="1"/>
    <xf numFmtId="0" fontId="29" fillId="0" borderId="0" xfId="49" applyFont="1" applyBorder="1" applyAlignment="1">
      <alignment horizontal="center"/>
    </xf>
    <xf numFmtId="0" fontId="29" fillId="0" borderId="0" xfId="49" applyFont="1" applyBorder="1" applyAlignment="1">
      <alignment horizontal="justify"/>
    </xf>
    <xf numFmtId="0" fontId="29" fillId="0" borderId="19" xfId="49" applyFont="1" applyBorder="1"/>
    <xf numFmtId="0" fontId="29" fillId="0" borderId="20" xfId="49" applyFont="1" applyBorder="1"/>
    <xf numFmtId="0" fontId="29" fillId="0" borderId="20" xfId="49" applyFont="1" applyBorder="1" applyAlignment="1">
      <alignment horizontal="left"/>
    </xf>
    <xf numFmtId="0" fontId="30" fillId="0" borderId="20" xfId="49" applyFont="1" applyBorder="1"/>
    <xf numFmtId="0" fontId="29" fillId="0" borderId="20" xfId="49" applyFont="1" applyBorder="1" applyAlignment="1">
      <alignment horizontal="center"/>
    </xf>
    <xf numFmtId="0" fontId="29" fillId="0" borderId="20" xfId="49" applyFont="1" applyBorder="1" applyAlignment="1">
      <alignment horizontal="justify"/>
    </xf>
    <xf numFmtId="0" fontId="22" fillId="0" borderId="21" xfId="49" applyFont="1" applyBorder="1" applyAlignment="1">
      <alignment horizontal="center" vertical="center"/>
    </xf>
    <xf numFmtId="178" fontId="23" fillId="0" borderId="25" xfId="49" applyNumberFormat="1" applyFont="1" applyBorder="1" applyAlignment="1">
      <alignment horizontal="right" vertical="center"/>
    </xf>
    <xf numFmtId="178" fontId="23" fillId="0" borderId="23" xfId="49" applyNumberFormat="1" applyFont="1" applyBorder="1" applyAlignment="1">
      <alignment horizontal="right"/>
    </xf>
    <xf numFmtId="178" fontId="23" fillId="0" borderId="25" xfId="49" applyNumberFormat="1" applyFont="1" applyBorder="1" applyAlignment="1">
      <alignment horizontal="right" vertical="center" wrapText="1"/>
    </xf>
    <xf numFmtId="178" fontId="23" fillId="0" borderId="25" xfId="49" applyNumberFormat="1" applyFont="1" applyBorder="1" applyAlignment="1">
      <alignment horizontal="right"/>
    </xf>
    <xf numFmtId="178" fontId="23" fillId="0" borderId="39" xfId="49" applyNumberFormat="1" applyFont="1" applyBorder="1" applyAlignment="1">
      <alignment horizontal="right"/>
    </xf>
    <xf numFmtId="178" fontId="23" fillId="0" borderId="23" xfId="49" applyNumberFormat="1" applyFont="1" applyBorder="1" applyAlignment="1">
      <alignment horizontal="right" vertical="center"/>
    </xf>
    <xf numFmtId="178" fontId="23" fillId="0" borderId="39" xfId="49" applyNumberFormat="1" applyFont="1" applyBorder="1" applyAlignment="1">
      <alignment horizontal="right" vertical="center" wrapText="1"/>
    </xf>
    <xf numFmtId="178" fontId="26" fillId="0" borderId="40" xfId="49" applyNumberFormat="1" applyFont="1" applyBorder="1" applyAlignment="1">
      <alignment horizontal="center" vertical="center" wrapText="1"/>
    </xf>
    <xf numFmtId="178" fontId="26" fillId="0" borderId="38" xfId="49" applyNumberFormat="1" applyFont="1" applyBorder="1" applyAlignment="1">
      <alignment horizontal="center" vertical="center" wrapText="1"/>
    </xf>
    <xf numFmtId="178" fontId="8" fillId="0" borderId="38" xfId="0" applyNumberFormat="1" applyFont="1" applyFill="1" applyBorder="1" applyAlignment="1">
      <alignment horizontal="right" vertical="center" wrapText="1"/>
    </xf>
    <xf numFmtId="177" fontId="8" fillId="0" borderId="36" xfId="49" applyNumberFormat="1" applyFont="1" applyBorder="1" applyAlignment="1">
      <alignment horizontal="right" vertical="center"/>
    </xf>
    <xf numFmtId="178" fontId="7" fillId="0" borderId="25" xfId="49" applyNumberFormat="1" applyFont="1" applyBorder="1" applyAlignment="1">
      <alignment horizontal="left"/>
    </xf>
    <xf numFmtId="178" fontId="23" fillId="0" borderId="27" xfId="49" applyNumberFormat="1" applyFont="1" applyBorder="1" applyAlignment="1">
      <alignment horizontal="right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Normal_00195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Normal 4" xfId="49"/>
    <cellStyle name="40% - 强调文字颜色 6" xfId="50" builtinId="51"/>
    <cellStyle name="60% - 强调文字颜色 6" xfId="51" builtinId="52"/>
    <cellStyle name="0,0_x000a__x000a_NA_x000a__x000a_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704850</xdr:colOff>
      <xdr:row>25</xdr:row>
      <xdr:rowOff>44450</xdr:rowOff>
    </xdr:from>
    <xdr:to>
      <xdr:col>3</xdr:col>
      <xdr:colOff>2419350</xdr:colOff>
      <xdr:row>30</xdr:row>
      <xdr:rowOff>41275</xdr:rowOff>
    </xdr:to>
    <xdr:pic>
      <xdr:nvPicPr>
        <xdr:cNvPr id="3" name="图片 2" descr="MP"/>
        <xdr:cNvPicPr>
          <a:picLocks noChangeAspect="1"/>
        </xdr:cNvPicPr>
      </xdr:nvPicPr>
      <xdr:blipFill>
        <a:blip r:embed="rId1"/>
        <a:srcRect l="7870" r="8796"/>
        <a:stretch>
          <a:fillRect/>
        </a:stretch>
      </xdr:blipFill>
      <xdr:spPr>
        <a:xfrm>
          <a:off x="3171825" y="7137400"/>
          <a:ext cx="1714500" cy="126682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24</xdr:row>
      <xdr:rowOff>230505</xdr:rowOff>
    </xdr:from>
    <xdr:to>
      <xdr:col>8</xdr:col>
      <xdr:colOff>200025</xdr:colOff>
      <xdr:row>30</xdr:row>
      <xdr:rowOff>82550</xdr:rowOff>
    </xdr:to>
    <xdr:pic>
      <xdr:nvPicPr>
        <xdr:cNvPr id="2" name="图片 1" descr="mpvn chop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24775" y="7069455"/>
          <a:ext cx="1452880" cy="13760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1914525</xdr:colOff>
      <xdr:row>18</xdr:row>
      <xdr:rowOff>302895</xdr:rowOff>
    </xdr:from>
    <xdr:to>
      <xdr:col>6</xdr:col>
      <xdr:colOff>0</xdr:colOff>
      <xdr:row>24</xdr:row>
      <xdr:rowOff>74295</xdr:rowOff>
    </xdr:to>
    <xdr:pic>
      <xdr:nvPicPr>
        <xdr:cNvPr id="2" name="图片 1" descr="MP"/>
        <xdr:cNvPicPr>
          <a:picLocks noChangeAspect="1"/>
        </xdr:cNvPicPr>
      </xdr:nvPicPr>
      <xdr:blipFill>
        <a:blip r:embed="rId1"/>
        <a:srcRect l="7870" r="7870"/>
        <a:stretch>
          <a:fillRect/>
        </a:stretch>
      </xdr:blipFill>
      <xdr:spPr>
        <a:xfrm>
          <a:off x="6459220" y="6144260"/>
          <a:ext cx="1733550" cy="1266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657225</xdr:colOff>
      <xdr:row>20</xdr:row>
      <xdr:rowOff>28575</xdr:rowOff>
    </xdr:from>
    <xdr:to>
      <xdr:col>4</xdr:col>
      <xdr:colOff>2406650</xdr:colOff>
      <xdr:row>27</xdr:row>
      <xdr:rowOff>44450</xdr:rowOff>
    </xdr:to>
    <xdr:pic>
      <xdr:nvPicPr>
        <xdr:cNvPr id="3" name="图片 2" descr="lQLPJwR2LG1T303Myc0BH7CCqp9UPqTlPwZmfz5hvi8B_287_2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30345" y="4873625"/>
          <a:ext cx="1749425" cy="1225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D18" sqref="D18"/>
    </sheetView>
  </sheetViews>
  <sheetFormatPr defaultColWidth="9" defaultRowHeight="13.5"/>
  <cols>
    <col min="1" max="1" width="6.5" style="241" customWidth="1"/>
    <col min="2" max="2" width="18.625" style="241" customWidth="1"/>
    <col min="3" max="3" width="7.25" style="241" customWidth="1"/>
    <col min="4" max="4" width="50.375" style="241" customWidth="1"/>
    <col min="5" max="5" width="9.375" style="241" customWidth="1"/>
    <col min="6" max="6" width="6.25" style="241" customWidth="1"/>
    <col min="7" max="7" width="10.125" style="241" customWidth="1"/>
    <col min="8" max="8" width="9.31666666666667" style="241" customWidth="1"/>
    <col min="9" max="9" width="11.25" style="241" customWidth="1"/>
    <col min="10" max="16384" width="9" style="241"/>
  </cols>
  <sheetData>
    <row r="1" s="241" customFormat="1" ht="19.5" spans="1:9">
      <c r="A1" s="243" t="s">
        <v>0</v>
      </c>
      <c r="B1" s="244"/>
      <c r="C1" s="244"/>
      <c r="D1" s="244"/>
      <c r="E1" s="244"/>
      <c r="F1" s="244"/>
      <c r="G1" s="244"/>
      <c r="H1" s="244"/>
      <c r="I1" s="333"/>
    </row>
    <row r="2" s="242" customFormat="1" ht="20" customHeight="1" spans="1:9">
      <c r="A2" s="245"/>
      <c r="B2" s="246"/>
      <c r="C2" s="246"/>
      <c r="D2" s="247"/>
      <c r="E2" s="248"/>
      <c r="G2" s="249" t="s">
        <v>1</v>
      </c>
      <c r="H2" s="250" t="s">
        <v>2</v>
      </c>
      <c r="I2" s="334"/>
    </row>
    <row r="3" s="242" customFormat="1" ht="20" customHeight="1" spans="1:9">
      <c r="A3" s="245"/>
      <c r="B3" s="246"/>
      <c r="C3" s="246"/>
      <c r="D3" s="247"/>
      <c r="E3" s="248"/>
      <c r="G3" s="251" t="s">
        <v>3</v>
      </c>
      <c r="H3" s="252">
        <v>45842</v>
      </c>
      <c r="I3" s="334"/>
    </row>
    <row r="4" s="242" customFormat="1" ht="20" customHeight="1" spans="1:9">
      <c r="A4" s="253" t="s">
        <v>4</v>
      </c>
      <c r="B4" s="254"/>
      <c r="C4" s="254"/>
      <c r="D4" s="255"/>
      <c r="E4" s="256"/>
      <c r="F4" s="257"/>
      <c r="G4" s="257"/>
      <c r="H4" s="258"/>
      <c r="I4" s="335"/>
    </row>
    <row r="5" s="242" customFormat="1" ht="36" customHeight="1" spans="1:9">
      <c r="A5" s="259"/>
      <c r="B5" s="260" t="s">
        <v>5</v>
      </c>
      <c r="C5" s="260"/>
      <c r="D5" s="260"/>
      <c r="E5" s="261"/>
      <c r="F5" s="262"/>
      <c r="G5" s="262"/>
      <c r="H5" s="263"/>
      <c r="I5" s="336"/>
    </row>
    <row r="6" s="242" customFormat="1" ht="20" customHeight="1" spans="1:9">
      <c r="A6" s="264"/>
      <c r="B6" s="246" t="s">
        <v>6</v>
      </c>
      <c r="C6" s="246"/>
      <c r="D6" s="247"/>
      <c r="E6" s="248"/>
      <c r="F6" s="265"/>
      <c r="G6" s="265"/>
      <c r="H6" s="266"/>
      <c r="I6" s="337"/>
    </row>
    <row r="7" s="242" customFormat="1" ht="20" customHeight="1" spans="1:9">
      <c r="A7" s="267"/>
      <c r="B7" s="268" t="s">
        <v>7</v>
      </c>
      <c r="C7" s="268"/>
      <c r="D7" s="269"/>
      <c r="E7" s="270"/>
      <c r="F7" s="271"/>
      <c r="G7" s="271"/>
      <c r="H7" s="272"/>
      <c r="I7" s="338"/>
    </row>
    <row r="8" s="242" customFormat="1" ht="20" customHeight="1" spans="1:9">
      <c r="A8" s="273" t="s">
        <v>8</v>
      </c>
      <c r="B8" s="274"/>
      <c r="C8" s="274"/>
      <c r="D8" s="275"/>
      <c r="E8" s="276"/>
      <c r="F8" s="277"/>
      <c r="G8" s="277"/>
      <c r="H8" s="278"/>
      <c r="I8" s="339"/>
    </row>
    <row r="9" s="242" customFormat="1" ht="33" customHeight="1" spans="1:9">
      <c r="A9" s="279"/>
      <c r="B9" s="280" t="s">
        <v>9</v>
      </c>
      <c r="C9" s="280"/>
      <c r="D9" s="280"/>
      <c r="E9" s="281"/>
      <c r="F9" s="282"/>
      <c r="G9" s="282"/>
      <c r="H9" s="283"/>
      <c r="I9" s="340"/>
    </row>
    <row r="10" s="242" customFormat="1" ht="20" customHeight="1" spans="1:9">
      <c r="A10" s="284" t="s">
        <v>10</v>
      </c>
      <c r="B10" s="285"/>
      <c r="C10" s="285"/>
      <c r="D10" s="286"/>
      <c r="E10" s="287"/>
      <c r="F10" s="288"/>
      <c r="G10" s="288"/>
      <c r="H10" s="289"/>
      <c r="I10" s="334"/>
    </row>
    <row r="11" s="242" customFormat="1" ht="22" customHeight="1" spans="1:9">
      <c r="A11" s="290" t="s">
        <v>11</v>
      </c>
      <c r="B11" s="291" t="s">
        <v>12</v>
      </c>
      <c r="C11" s="292"/>
      <c r="D11" s="293"/>
      <c r="E11" s="294" t="s">
        <v>13</v>
      </c>
      <c r="F11" s="295" t="s">
        <v>14</v>
      </c>
      <c r="G11" s="295" t="s">
        <v>15</v>
      </c>
      <c r="H11" s="296" t="s">
        <v>16</v>
      </c>
      <c r="I11" s="341" t="s">
        <v>17</v>
      </c>
    </row>
    <row r="12" s="242" customFormat="1" ht="27" customHeight="1" spans="1:9">
      <c r="A12" s="297"/>
      <c r="B12" s="298" t="s">
        <v>18</v>
      </c>
      <c r="C12" s="299" t="s">
        <v>19</v>
      </c>
      <c r="D12" s="298" t="s">
        <v>20</v>
      </c>
      <c r="E12" s="300"/>
      <c r="F12" s="301"/>
      <c r="G12" s="301"/>
      <c r="H12" s="302"/>
      <c r="I12" s="342"/>
    </row>
    <row r="13" s="116" customFormat="1" ht="27" customHeight="1" spans="1:9">
      <c r="A13" s="303">
        <v>1</v>
      </c>
      <c r="B13" s="304" t="s">
        <v>21</v>
      </c>
      <c r="C13" s="55">
        <v>1</v>
      </c>
      <c r="D13" s="57" t="s">
        <v>22</v>
      </c>
      <c r="E13" s="305">
        <v>1</v>
      </c>
      <c r="F13" s="306" t="s">
        <v>23</v>
      </c>
      <c r="G13" s="307" t="s">
        <v>24</v>
      </c>
      <c r="H13" s="308">
        <v>6.0124</v>
      </c>
      <c r="I13" s="343">
        <f>H13*E13</f>
        <v>6.0124</v>
      </c>
    </row>
    <row r="14" s="116" customFormat="1" ht="27" customHeight="1" spans="1:9">
      <c r="A14" s="303">
        <v>2</v>
      </c>
      <c r="B14" s="304" t="s">
        <v>25</v>
      </c>
      <c r="C14" s="55">
        <v>2</v>
      </c>
      <c r="D14" s="57" t="s">
        <v>26</v>
      </c>
      <c r="E14" s="305">
        <v>1</v>
      </c>
      <c r="F14" s="306" t="s">
        <v>23</v>
      </c>
      <c r="G14" s="307" t="s">
        <v>24</v>
      </c>
      <c r="H14" s="308">
        <v>5.3443</v>
      </c>
      <c r="I14" s="343">
        <f>H14*E14</f>
        <v>5.3443</v>
      </c>
    </row>
    <row r="15" s="116" customFormat="1" ht="27" customHeight="1" spans="1:9">
      <c r="A15" s="303">
        <v>3</v>
      </c>
      <c r="B15" s="304" t="s">
        <v>27</v>
      </c>
      <c r="C15" s="55">
        <v>3</v>
      </c>
      <c r="D15" s="57" t="s">
        <v>26</v>
      </c>
      <c r="E15" s="305">
        <v>1</v>
      </c>
      <c r="F15" s="306" t="s">
        <v>23</v>
      </c>
      <c r="G15" s="307" t="s">
        <v>24</v>
      </c>
      <c r="H15" s="308">
        <v>5.6115</v>
      </c>
      <c r="I15" s="343">
        <f>H15*E15</f>
        <v>5.6115</v>
      </c>
    </row>
    <row r="16" s="116" customFormat="1" ht="20" customHeight="1" spans="1:9">
      <c r="A16" s="309" t="s">
        <v>28</v>
      </c>
      <c r="B16" s="310"/>
      <c r="C16" s="310"/>
      <c r="D16" s="310"/>
      <c r="E16" s="311">
        <f>SUM(E13:E15)</f>
        <v>3</v>
      </c>
      <c r="F16" s="312"/>
      <c r="G16" s="313"/>
      <c r="H16" s="314"/>
      <c r="I16" s="344">
        <f>SUM(I13:I15)</f>
        <v>16.9682</v>
      </c>
    </row>
    <row r="17" s="242" customFormat="1" ht="20" customHeight="1" spans="1:9">
      <c r="A17" s="315" t="s">
        <v>29</v>
      </c>
      <c r="B17" s="246"/>
      <c r="C17" s="246"/>
      <c r="D17" s="247"/>
      <c r="E17" s="248"/>
      <c r="F17" s="265"/>
      <c r="G17" s="265"/>
      <c r="H17" s="266"/>
      <c r="I17" s="337"/>
    </row>
    <row r="18" s="242" customFormat="1" ht="20" customHeight="1" spans="1:9">
      <c r="A18" s="245"/>
      <c r="B18" s="246" t="s">
        <v>30</v>
      </c>
      <c r="C18" s="246"/>
      <c r="D18" s="247"/>
      <c r="E18" s="248"/>
      <c r="F18" s="265"/>
      <c r="G18" s="265"/>
      <c r="H18" s="266"/>
      <c r="I18" s="337"/>
    </row>
    <row r="19" s="242" customFormat="1" ht="20" customHeight="1" spans="1:9">
      <c r="A19" s="245"/>
      <c r="B19" s="246" t="s">
        <v>31</v>
      </c>
      <c r="C19" s="246"/>
      <c r="D19" s="247"/>
      <c r="E19" s="248"/>
      <c r="F19" s="265"/>
      <c r="G19" s="265"/>
      <c r="H19" s="266"/>
      <c r="I19" s="337"/>
    </row>
    <row r="20" s="242" customFormat="1" ht="20" customHeight="1" spans="1:9">
      <c r="A20" s="245"/>
      <c r="B20" s="316" t="s">
        <v>32</v>
      </c>
      <c r="C20" s="316"/>
      <c r="D20" s="247"/>
      <c r="E20" s="248"/>
      <c r="F20" s="265"/>
      <c r="G20" s="265"/>
      <c r="H20" s="266"/>
      <c r="I20" s="337"/>
    </row>
    <row r="21" s="242" customFormat="1" ht="20" customHeight="1" spans="1:9">
      <c r="A21" s="245"/>
      <c r="B21" s="246" t="s">
        <v>33</v>
      </c>
      <c r="C21" s="246"/>
      <c r="D21" s="247"/>
      <c r="E21" s="248"/>
      <c r="F21" s="265"/>
      <c r="G21" s="265"/>
      <c r="H21" s="266"/>
      <c r="I21" s="337"/>
    </row>
    <row r="22" s="242" customFormat="1" ht="20" customHeight="1" spans="1:9">
      <c r="A22" s="245"/>
      <c r="B22" s="246" t="s">
        <v>34</v>
      </c>
      <c r="C22" s="246"/>
      <c r="D22" s="247"/>
      <c r="E22" s="248"/>
      <c r="F22" s="265"/>
      <c r="G22" s="265"/>
      <c r="H22" s="266"/>
      <c r="I22" s="337"/>
    </row>
    <row r="23" s="242" customFormat="1" ht="20" customHeight="1" spans="1:9">
      <c r="A23" s="245"/>
      <c r="B23" s="316" t="s">
        <v>35</v>
      </c>
      <c r="C23" s="316"/>
      <c r="D23" s="247"/>
      <c r="E23" s="248"/>
      <c r="F23" s="265"/>
      <c r="G23" s="265"/>
      <c r="H23" s="266"/>
      <c r="I23" s="337"/>
    </row>
    <row r="24" s="242" customFormat="1" ht="20" customHeight="1" spans="1:9">
      <c r="A24" s="245"/>
      <c r="B24" s="246" t="s">
        <v>36</v>
      </c>
      <c r="C24" s="246"/>
      <c r="D24" s="247"/>
      <c r="E24" s="248"/>
      <c r="F24" s="265"/>
      <c r="G24" s="265"/>
      <c r="H24" s="266"/>
      <c r="I24" s="337"/>
    </row>
    <row r="25" s="241" customFormat="1" ht="20" customHeight="1" spans="1:9">
      <c r="A25" s="317" t="s">
        <v>37</v>
      </c>
      <c r="B25" s="318"/>
      <c r="C25" s="318"/>
      <c r="D25" s="319"/>
      <c r="E25" s="320"/>
      <c r="F25" s="319" t="s">
        <v>38</v>
      </c>
      <c r="G25" s="319"/>
      <c r="H25" s="319"/>
      <c r="I25" s="345"/>
    </row>
    <row r="26" s="241" customFormat="1" ht="20" customHeight="1" spans="1:9">
      <c r="A26" s="321"/>
      <c r="B26" s="322"/>
      <c r="C26" s="322"/>
      <c r="D26" s="323"/>
      <c r="E26" s="324"/>
      <c r="F26" s="325"/>
      <c r="G26" s="325"/>
      <c r="H26" s="326"/>
      <c r="I26" s="337"/>
    </row>
    <row r="27" s="241" customFormat="1" ht="20" customHeight="1" spans="1:9">
      <c r="A27" s="321"/>
      <c r="B27" s="322"/>
      <c r="C27" s="322"/>
      <c r="D27" s="323"/>
      <c r="E27" s="324"/>
      <c r="F27" s="325"/>
      <c r="G27" s="325"/>
      <c r="H27" s="326"/>
      <c r="I27" s="337"/>
    </row>
    <row r="28" s="241" customFormat="1" ht="20" customHeight="1" spans="1:9">
      <c r="A28" s="321"/>
      <c r="B28" s="322"/>
      <c r="C28" s="322"/>
      <c r="D28" s="323"/>
      <c r="E28" s="324"/>
      <c r="F28" s="325"/>
      <c r="G28" s="325"/>
      <c r="H28" s="326"/>
      <c r="I28" s="337"/>
    </row>
    <row r="29" s="241" customFormat="1" ht="20" customHeight="1" spans="1:9">
      <c r="A29" s="321"/>
      <c r="B29" s="322"/>
      <c r="C29" s="322"/>
      <c r="D29" s="323"/>
      <c r="E29" s="324"/>
      <c r="F29" s="325"/>
      <c r="G29" s="325"/>
      <c r="H29" s="326"/>
      <c r="I29" s="337"/>
    </row>
    <row r="30" s="241" customFormat="1" ht="20" customHeight="1" spans="1:9">
      <c r="A30" s="321"/>
      <c r="B30" s="322"/>
      <c r="C30" s="322"/>
      <c r="D30" s="323"/>
      <c r="E30" s="324"/>
      <c r="F30" s="325"/>
      <c r="G30" s="325"/>
      <c r="H30" s="326"/>
      <c r="I30" s="337"/>
    </row>
    <row r="31" s="241" customFormat="1" ht="20" customHeight="1" spans="1:9">
      <c r="A31" s="327"/>
      <c r="B31" s="328"/>
      <c r="C31" s="328"/>
      <c r="D31" s="329"/>
      <c r="E31" s="330"/>
      <c r="F31" s="331"/>
      <c r="G31" s="331"/>
      <c r="H31" s="332"/>
      <c r="I31" s="346"/>
    </row>
    <row r="32" s="241" customFormat="1" ht="14.25"/>
  </sheetData>
  <mergeCells count="13">
    <mergeCell ref="A1:I1"/>
    <mergeCell ref="B5:I5"/>
    <mergeCell ref="B9:I9"/>
    <mergeCell ref="B11:D11"/>
    <mergeCell ref="A16:D16"/>
    <mergeCell ref="A25:D25"/>
    <mergeCell ref="F25:I25"/>
    <mergeCell ref="A11:A12"/>
    <mergeCell ref="E11:E12"/>
    <mergeCell ref="F11:F12"/>
    <mergeCell ref="G11:G12"/>
    <mergeCell ref="H11:H12"/>
    <mergeCell ref="I11:I12"/>
  </mergeCells>
  <conditionalFormatting sqref="B13">
    <cfRule type="duplicateValues" dxfId="0" priority="6"/>
  </conditionalFormatting>
  <conditionalFormatting sqref="B14">
    <cfRule type="duplicateValues" dxfId="0" priority="11"/>
  </conditionalFormatting>
  <conditionalFormatting sqref="B15">
    <cfRule type="duplicateValues" dxfId="0" priority="10"/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L26"/>
  <sheetViews>
    <sheetView tabSelected="1" workbookViewId="0">
      <selection activeCell="J12" sqref="J12:L12"/>
    </sheetView>
  </sheetViews>
  <sheetFormatPr defaultColWidth="9" defaultRowHeight="13.5"/>
  <cols>
    <col min="1" max="1" width="5.14166666666667" style="117" customWidth="1"/>
    <col min="2" max="2" width="14.375" style="117" customWidth="1"/>
    <col min="3" max="3" width="8.75" style="118" customWidth="1"/>
    <col min="4" max="4" width="14.875" style="117" customWidth="1"/>
    <col min="5" max="5" width="16.5" style="117" customWidth="1"/>
    <col min="6" max="6" width="47.875" style="117" customWidth="1"/>
    <col min="7" max="7" width="12" style="4" customWidth="1"/>
    <col min="8" max="8" width="11.25" style="118" customWidth="1"/>
    <col min="9" max="9" width="9.5" style="119" customWidth="1"/>
    <col min="10" max="10" width="8" style="118" customWidth="1"/>
    <col min="11" max="11" width="12.375" style="120" customWidth="1"/>
    <col min="12" max="12" width="11.875" style="120" customWidth="1"/>
    <col min="13" max="16384" width="9" style="117"/>
  </cols>
  <sheetData>
    <row r="1" ht="37.5" customHeight="1" spans="1:12">
      <c r="A1" s="121" t="s">
        <v>39</v>
      </c>
      <c r="B1" s="122"/>
      <c r="C1" s="122"/>
      <c r="D1" s="122"/>
      <c r="E1" s="122"/>
      <c r="F1" s="122"/>
      <c r="G1" s="123"/>
      <c r="H1" s="122"/>
      <c r="I1" s="182"/>
      <c r="J1" s="122"/>
      <c r="K1" s="183"/>
      <c r="L1" s="184"/>
    </row>
    <row r="2" ht="20.1" customHeight="1" spans="1:12">
      <c r="A2" s="124" t="s">
        <v>40</v>
      </c>
      <c r="B2" s="125"/>
      <c r="C2" s="126"/>
      <c r="D2" s="125"/>
      <c r="E2" s="125"/>
      <c r="F2" s="125"/>
      <c r="G2" s="127"/>
      <c r="H2" s="128"/>
      <c r="I2" s="185"/>
      <c r="J2" s="186" t="s">
        <v>41</v>
      </c>
      <c r="K2" s="187"/>
      <c r="L2" s="188"/>
    </row>
    <row r="3" ht="20.1" customHeight="1" spans="1:12">
      <c r="A3" s="129"/>
      <c r="B3" s="130" t="s">
        <v>42</v>
      </c>
      <c r="C3" s="131"/>
      <c r="D3" s="130"/>
      <c r="E3" s="130"/>
      <c r="F3" s="130"/>
      <c r="G3" s="20"/>
      <c r="H3" s="130"/>
      <c r="I3" s="189"/>
      <c r="J3" s="190" t="s">
        <v>43</v>
      </c>
      <c r="K3" s="191"/>
      <c r="L3" s="192"/>
    </row>
    <row r="4" ht="20.1" customHeight="1" spans="1:12">
      <c r="A4" s="129"/>
      <c r="B4" s="132" t="s">
        <v>9</v>
      </c>
      <c r="C4" s="133"/>
      <c r="D4" s="132"/>
      <c r="E4" s="132"/>
      <c r="F4" s="134"/>
      <c r="G4" s="135"/>
      <c r="H4" s="134"/>
      <c r="I4" s="193"/>
      <c r="J4" s="194" t="s">
        <v>44</v>
      </c>
      <c r="K4" s="195"/>
      <c r="L4" s="196"/>
    </row>
    <row r="5" ht="21.75" customHeight="1" spans="1:12">
      <c r="A5" s="136"/>
      <c r="B5" s="137" t="s">
        <v>45</v>
      </c>
      <c r="C5" s="131"/>
      <c r="D5" s="130"/>
      <c r="E5" s="130"/>
      <c r="F5" s="138"/>
      <c r="G5" s="43"/>
      <c r="H5" s="139"/>
      <c r="I5" s="197"/>
      <c r="J5" s="198" t="s">
        <v>46</v>
      </c>
      <c r="K5" s="199"/>
      <c r="L5" s="200"/>
    </row>
    <row r="6" ht="20.1" customHeight="1" spans="1:12">
      <c r="A6" s="124" t="s">
        <v>47</v>
      </c>
      <c r="B6" s="125"/>
      <c r="C6" s="126"/>
      <c r="D6" s="125"/>
      <c r="E6" s="125"/>
      <c r="F6" s="125"/>
      <c r="G6" s="127"/>
      <c r="H6" s="128"/>
      <c r="I6" s="201"/>
      <c r="J6" s="202" t="s">
        <v>48</v>
      </c>
      <c r="K6" s="203"/>
      <c r="L6" s="204"/>
    </row>
    <row r="7" ht="20.1" customHeight="1" spans="1:12">
      <c r="A7" s="129"/>
      <c r="B7" s="130" t="s">
        <v>49</v>
      </c>
      <c r="C7" s="131"/>
      <c r="D7" s="130"/>
      <c r="E7" s="130"/>
      <c r="F7" s="130"/>
      <c r="G7" s="20"/>
      <c r="H7" s="131"/>
      <c r="I7" s="189"/>
      <c r="J7" s="202" t="s">
        <v>50</v>
      </c>
      <c r="K7" s="203"/>
      <c r="L7" s="204"/>
    </row>
    <row r="8" ht="21.75" customHeight="1" spans="1:12">
      <c r="A8" s="129"/>
      <c r="B8" s="140" t="s">
        <v>51</v>
      </c>
      <c r="C8" s="141"/>
      <c r="D8" s="140"/>
      <c r="E8" s="140"/>
      <c r="F8" s="134"/>
      <c r="G8" s="135"/>
      <c r="H8" s="142"/>
      <c r="I8" s="193"/>
      <c r="J8" s="202" t="s">
        <v>52</v>
      </c>
      <c r="K8" s="203"/>
      <c r="L8" s="204"/>
    </row>
    <row r="9" ht="24" customHeight="1" spans="1:12">
      <c r="A9" s="129"/>
      <c r="B9" s="134"/>
      <c r="C9" s="142"/>
      <c r="D9" s="134"/>
      <c r="E9" s="134"/>
      <c r="F9" s="134"/>
      <c r="G9" s="135"/>
      <c r="H9" s="142"/>
      <c r="I9" s="193"/>
      <c r="J9" s="202" t="s">
        <v>53</v>
      </c>
      <c r="K9" s="203"/>
      <c r="L9" s="204"/>
    </row>
    <row r="10" ht="20.1" customHeight="1" spans="1:12">
      <c r="A10" s="129"/>
      <c r="B10" s="143" t="s">
        <v>54</v>
      </c>
      <c r="C10" s="144"/>
      <c r="D10" s="143"/>
      <c r="E10" s="143"/>
      <c r="F10" s="143"/>
      <c r="G10" s="33"/>
      <c r="H10" s="144"/>
      <c r="I10" s="205"/>
      <c r="J10" s="206" t="s">
        <v>55</v>
      </c>
      <c r="K10" s="199"/>
      <c r="L10" s="200"/>
    </row>
    <row r="11" ht="20.1" customHeight="1" spans="1:12">
      <c r="A11" s="145"/>
      <c r="B11" s="146" t="s">
        <v>56</v>
      </c>
      <c r="C11" s="147"/>
      <c r="D11" s="146"/>
      <c r="E11" s="146"/>
      <c r="F11" s="148"/>
      <c r="G11" s="149"/>
      <c r="H11" s="150"/>
      <c r="I11" s="207"/>
      <c r="J11" s="206" t="s">
        <v>57</v>
      </c>
      <c r="K11" s="199"/>
      <c r="L11" s="200"/>
    </row>
    <row r="12" ht="30" customHeight="1" spans="1:12">
      <c r="A12" s="151" t="s">
        <v>58</v>
      </c>
      <c r="B12" s="152"/>
      <c r="C12" s="153"/>
      <c r="D12" s="152"/>
      <c r="E12" s="152"/>
      <c r="F12" s="152"/>
      <c r="G12" s="154"/>
      <c r="H12" s="155"/>
      <c r="I12" s="208"/>
      <c r="J12" s="209"/>
      <c r="K12" s="210"/>
      <c r="L12" s="211"/>
    </row>
    <row r="13" s="115" customFormat="1" ht="26.25" customHeight="1" spans="1:12">
      <c r="A13" s="156" t="s">
        <v>11</v>
      </c>
      <c r="B13" s="157" t="s">
        <v>59</v>
      </c>
      <c r="C13" s="158"/>
      <c r="D13" s="158"/>
      <c r="E13" s="158"/>
      <c r="F13" s="159"/>
      <c r="G13" s="160" t="s">
        <v>60</v>
      </c>
      <c r="H13" s="161" t="s">
        <v>61</v>
      </c>
      <c r="I13" s="160" t="s">
        <v>13</v>
      </c>
      <c r="J13" s="212" t="s">
        <v>14</v>
      </c>
      <c r="K13" s="213" t="s">
        <v>16</v>
      </c>
      <c r="L13" s="214" t="s">
        <v>17</v>
      </c>
    </row>
    <row r="14" s="115" customFormat="1" ht="33" customHeight="1" spans="1:12">
      <c r="A14" s="162"/>
      <c r="B14" s="49" t="s">
        <v>62</v>
      </c>
      <c r="C14" s="49" t="s">
        <v>63</v>
      </c>
      <c r="D14" s="49" t="s">
        <v>64</v>
      </c>
      <c r="E14" s="49" t="s">
        <v>65</v>
      </c>
      <c r="F14" s="49" t="s">
        <v>20</v>
      </c>
      <c r="G14" s="163"/>
      <c r="H14" s="164"/>
      <c r="I14" s="163"/>
      <c r="J14" s="215"/>
      <c r="K14" s="216"/>
      <c r="L14" s="217"/>
    </row>
    <row r="15" s="116" customFormat="1" ht="33" customHeight="1" spans="1:12">
      <c r="A15" s="165">
        <v>1</v>
      </c>
      <c r="B15" s="166" t="s">
        <v>2</v>
      </c>
      <c r="C15" s="166">
        <v>1</v>
      </c>
      <c r="D15" s="167" t="s">
        <v>21</v>
      </c>
      <c r="E15" s="168" t="s">
        <v>66</v>
      </c>
      <c r="F15" s="168" t="s">
        <v>22</v>
      </c>
      <c r="G15" s="168">
        <v>84662090</v>
      </c>
      <c r="H15" s="168" t="s">
        <v>24</v>
      </c>
      <c r="I15" s="218">
        <v>1</v>
      </c>
      <c r="J15" s="219" t="s">
        <v>23</v>
      </c>
      <c r="K15" s="220">
        <v>6.0124</v>
      </c>
      <c r="L15" s="221">
        <f>K15*I15</f>
        <v>6.0124</v>
      </c>
    </row>
    <row r="16" s="116" customFormat="1" ht="33" customHeight="1" spans="1:12">
      <c r="A16" s="165">
        <v>2</v>
      </c>
      <c r="B16" s="166" t="s">
        <v>2</v>
      </c>
      <c r="C16" s="166">
        <v>2</v>
      </c>
      <c r="D16" s="167" t="s">
        <v>25</v>
      </c>
      <c r="E16" s="169" t="s">
        <v>67</v>
      </c>
      <c r="F16" s="168" t="s">
        <v>26</v>
      </c>
      <c r="G16" s="168">
        <v>84662090</v>
      </c>
      <c r="H16" s="168" t="s">
        <v>24</v>
      </c>
      <c r="I16" s="218">
        <v>1</v>
      </c>
      <c r="J16" s="219" t="s">
        <v>23</v>
      </c>
      <c r="K16" s="220">
        <v>5.3443</v>
      </c>
      <c r="L16" s="221">
        <f>K16*I16</f>
        <v>5.3443</v>
      </c>
    </row>
    <row r="17" s="116" customFormat="1" ht="33" customHeight="1" spans="1:12">
      <c r="A17" s="165">
        <v>3</v>
      </c>
      <c r="B17" s="166" t="s">
        <v>2</v>
      </c>
      <c r="C17" s="166">
        <v>3</v>
      </c>
      <c r="D17" s="167" t="s">
        <v>27</v>
      </c>
      <c r="E17" s="169" t="s">
        <v>68</v>
      </c>
      <c r="F17" s="168" t="s">
        <v>26</v>
      </c>
      <c r="G17" s="168">
        <v>84662090</v>
      </c>
      <c r="H17" s="168" t="s">
        <v>24</v>
      </c>
      <c r="I17" s="218">
        <v>1</v>
      </c>
      <c r="J17" s="219" t="s">
        <v>23</v>
      </c>
      <c r="K17" s="220">
        <v>5.6115</v>
      </c>
      <c r="L17" s="221">
        <f>K17*I17</f>
        <v>5.6115</v>
      </c>
    </row>
    <row r="18" s="2" customFormat="1" ht="26" customHeight="1" spans="1:12">
      <c r="A18" s="170" t="s">
        <v>28</v>
      </c>
      <c r="B18" s="171"/>
      <c r="C18" s="171"/>
      <c r="D18" s="171"/>
      <c r="E18" s="171"/>
      <c r="F18" s="171"/>
      <c r="G18" s="171"/>
      <c r="H18" s="171"/>
      <c r="I18" s="222">
        <f>SUM(I15:I17)</f>
        <v>3</v>
      </c>
      <c r="J18" s="223"/>
      <c r="K18" s="224"/>
      <c r="L18" s="225">
        <f>SUM(L15:L17)</f>
        <v>16.9682</v>
      </c>
    </row>
    <row r="19" ht="24" customHeight="1" spans="1:12">
      <c r="A19" s="172"/>
      <c r="B19" s="173"/>
      <c r="C19" s="174"/>
      <c r="D19" s="173"/>
      <c r="E19" s="173"/>
      <c r="F19" s="173"/>
      <c r="G19" s="68"/>
      <c r="H19" s="175"/>
      <c r="I19" s="226"/>
      <c r="J19" s="227"/>
      <c r="K19" s="228"/>
      <c r="L19" s="229"/>
    </row>
    <row r="20" ht="18.75" spans="1:12">
      <c r="A20" s="176"/>
      <c r="B20" s="177"/>
      <c r="C20" s="175"/>
      <c r="D20" s="177"/>
      <c r="E20" s="177"/>
      <c r="F20" s="177"/>
      <c r="G20" s="68"/>
      <c r="H20" s="178"/>
      <c r="I20" s="178"/>
      <c r="J20" s="178"/>
      <c r="K20" s="230" t="s">
        <v>69</v>
      </c>
      <c r="L20" s="231"/>
    </row>
    <row r="21" ht="18.75" spans="1:12">
      <c r="A21" s="176"/>
      <c r="B21" s="177"/>
      <c r="C21" s="175"/>
      <c r="D21" s="177"/>
      <c r="E21" s="177"/>
      <c r="F21" s="177"/>
      <c r="G21" s="68"/>
      <c r="H21" s="175"/>
      <c r="I21" s="232"/>
      <c r="J21" s="233"/>
      <c r="K21" s="234"/>
      <c r="L21" s="229"/>
    </row>
    <row r="22" ht="18.75" spans="1:12">
      <c r="A22" s="176"/>
      <c r="B22" s="177"/>
      <c r="C22" s="175"/>
      <c r="D22" s="177"/>
      <c r="E22" s="177"/>
      <c r="F22" s="177"/>
      <c r="G22" s="68"/>
      <c r="H22" s="175"/>
      <c r="I22" s="232"/>
      <c r="J22" s="233"/>
      <c r="K22" s="234"/>
      <c r="L22" s="229"/>
    </row>
    <row r="23" ht="18.75" spans="1:12">
      <c r="A23" s="176"/>
      <c r="B23" s="177"/>
      <c r="C23" s="175"/>
      <c r="D23" s="177"/>
      <c r="E23" s="177"/>
      <c r="F23" s="177"/>
      <c r="G23" s="68"/>
      <c r="H23" s="175"/>
      <c r="I23" s="232"/>
      <c r="J23" s="233"/>
      <c r="K23" s="234"/>
      <c r="L23" s="229"/>
    </row>
    <row r="24" ht="18.75" spans="1:12">
      <c r="A24" s="176"/>
      <c r="B24" s="177"/>
      <c r="C24" s="175"/>
      <c r="D24" s="177"/>
      <c r="E24" s="177"/>
      <c r="F24" s="177"/>
      <c r="G24" s="68"/>
      <c r="H24" s="175"/>
      <c r="I24" s="232"/>
      <c r="J24" s="233"/>
      <c r="K24" s="234"/>
      <c r="L24" s="229"/>
    </row>
    <row r="25" ht="19.5" spans="1:12">
      <c r="A25" s="179"/>
      <c r="B25" s="180"/>
      <c r="C25" s="181"/>
      <c r="D25" s="180"/>
      <c r="E25" s="180"/>
      <c r="F25" s="180"/>
      <c r="G25" s="75"/>
      <c r="H25" s="181"/>
      <c r="I25" s="235"/>
      <c r="J25" s="236"/>
      <c r="K25" s="237"/>
      <c r="L25" s="238"/>
    </row>
    <row r="26" ht="14.25" spans="1:12">
      <c r="A26" s="177"/>
      <c r="B26" s="177"/>
      <c r="C26" s="175"/>
      <c r="D26" s="177"/>
      <c r="E26" s="177"/>
      <c r="F26" s="177"/>
      <c r="G26" s="68"/>
      <c r="H26" s="175"/>
      <c r="I26" s="239"/>
      <c r="J26" s="175"/>
      <c r="K26" s="240"/>
      <c r="L26" s="240"/>
    </row>
  </sheetData>
  <mergeCells count="29">
    <mergeCell ref="A1:L1"/>
    <mergeCell ref="A2:B2"/>
    <mergeCell ref="J2:L2"/>
    <mergeCell ref="B3:I3"/>
    <mergeCell ref="J3:L3"/>
    <mergeCell ref="B4:I4"/>
    <mergeCell ref="J4:L4"/>
    <mergeCell ref="J5:L5"/>
    <mergeCell ref="A6:B6"/>
    <mergeCell ref="J6:L6"/>
    <mergeCell ref="B7:I7"/>
    <mergeCell ref="J7:L7"/>
    <mergeCell ref="J8:L8"/>
    <mergeCell ref="J9:L9"/>
    <mergeCell ref="B10:I10"/>
    <mergeCell ref="J10:L10"/>
    <mergeCell ref="J11:L11"/>
    <mergeCell ref="A12:F12"/>
    <mergeCell ref="G12:I12"/>
    <mergeCell ref="J12:L12"/>
    <mergeCell ref="B13:F13"/>
    <mergeCell ref="A13:A14"/>
    <mergeCell ref="G13:G14"/>
    <mergeCell ref="H13:H14"/>
    <mergeCell ref="I13:I14"/>
    <mergeCell ref="J13:J14"/>
    <mergeCell ref="K13:K14"/>
    <mergeCell ref="L13:L14"/>
    <mergeCell ref="B8:I9"/>
  </mergeCells>
  <conditionalFormatting sqref="D15">
    <cfRule type="duplicateValues" dxfId="0" priority="6"/>
  </conditionalFormatting>
  <conditionalFormatting sqref="D16:D17">
    <cfRule type="duplicateValues" dxfId="0" priority="11"/>
  </conditionalFormatting>
  <printOptions horizontalCentered="1"/>
  <pageMargins left="0.01875" right="0.01875" top="0.349305555555556" bottom="0.751388888888889" header="0.238888888888889" footer="0.297916666666667"/>
  <pageSetup paperSize="9" orientation="portrait" horizontalDpi="600"/>
  <headerFooter>
    <oddFooter>&amp;C&amp;P/&amp;N</oddFooter>
  </headerFooter>
  <rowBreaks count="1" manualBreakCount="1">
    <brk id="25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L28"/>
  <sheetViews>
    <sheetView workbookViewId="0">
      <selection activeCell="A18" sqref="A18:E18"/>
    </sheetView>
  </sheetViews>
  <sheetFormatPr defaultColWidth="9" defaultRowHeight="13.5"/>
  <cols>
    <col min="1" max="1" width="5.14166666666667" style="3" customWidth="1"/>
    <col min="2" max="2" width="12.5" style="3" customWidth="1"/>
    <col min="3" max="3" width="8.5" style="4" customWidth="1"/>
    <col min="4" max="4" width="18.125" style="3" customWidth="1"/>
    <col min="5" max="5" width="40.125" style="3" customWidth="1"/>
    <col min="6" max="6" width="11.8583333333333" style="5" customWidth="1"/>
    <col min="7" max="7" width="9.14166666666667" style="4" customWidth="1"/>
    <col min="8" max="8" width="7.425" style="3" customWidth="1"/>
    <col min="9" max="9" width="10" style="6" customWidth="1"/>
    <col min="10" max="10" width="9.75" style="7" customWidth="1"/>
    <col min="11" max="11" width="9.875" style="7" customWidth="1"/>
    <col min="12" max="12" width="4.425" style="8" customWidth="1"/>
    <col min="13" max="16384" width="9" style="3"/>
  </cols>
  <sheetData>
    <row r="1" ht="27" customHeight="1" spans="1:12">
      <c r="A1" s="9" t="s">
        <v>70</v>
      </c>
      <c r="B1" s="10"/>
      <c r="C1" s="10"/>
      <c r="D1" s="10"/>
      <c r="E1" s="10"/>
      <c r="F1" s="11"/>
      <c r="G1" s="10"/>
      <c r="H1" s="10"/>
      <c r="I1" s="77"/>
      <c r="J1" s="78"/>
      <c r="K1" s="78"/>
      <c r="L1" s="79"/>
    </row>
    <row r="2" ht="15" customHeight="1" spans="1:12">
      <c r="A2" s="12" t="s">
        <v>40</v>
      </c>
      <c r="B2" s="13"/>
      <c r="C2" s="14"/>
      <c r="D2" s="13"/>
      <c r="E2" s="13"/>
      <c r="F2" s="15"/>
      <c r="G2" s="16"/>
      <c r="H2" s="17"/>
      <c r="I2" s="80" t="str">
        <f>'Invoice '!J2</f>
        <v>INVOICE NO:TS250017</v>
      </c>
      <c r="J2" s="81"/>
      <c r="K2" s="81"/>
      <c r="L2" s="82"/>
    </row>
    <row r="3" ht="15" customHeight="1" spans="1:12">
      <c r="A3" s="18"/>
      <c r="B3" s="19" t="str">
        <f>'Invoice '!B3</f>
        <v>NAME: TECHSEN ELECTRONICS(SHENZHEN) CO., LTD </v>
      </c>
      <c r="C3" s="20"/>
      <c r="D3" s="19"/>
      <c r="E3" s="19"/>
      <c r="F3" s="21"/>
      <c r="H3" s="22"/>
      <c r="I3" s="83" t="str">
        <f>'Invoice '!J3</f>
        <v>INVOICE DATE:2025-07-04</v>
      </c>
      <c r="J3" s="84"/>
      <c r="K3" s="84"/>
      <c r="L3" s="85"/>
    </row>
    <row r="4" ht="15" customHeight="1" spans="1:12">
      <c r="A4" s="18"/>
      <c r="B4" s="23" t="str">
        <f>'Invoice '!B4</f>
        <v>ADDRESS: NO.28 XIANGXING ROAD,BUYONG COMMUNITY,SHAJING STREET,BAO'AN DISTRICT,SHENZHEN CITY,CHINA.</v>
      </c>
      <c r="C4" s="24"/>
      <c r="D4" s="23"/>
      <c r="E4" s="23"/>
      <c r="F4" s="25"/>
      <c r="H4" s="26"/>
      <c r="I4" s="83" t="str">
        <f>'Invoice '!J4</f>
        <v>PO NO:below list</v>
      </c>
      <c r="J4" s="86"/>
      <c r="K4" s="86"/>
      <c r="L4" s="87"/>
    </row>
    <row r="5" ht="15" customHeight="1" spans="1:12">
      <c r="A5" s="27"/>
      <c r="B5" s="28" t="str">
        <f>'Invoice '!B5</f>
        <v>TELL: +86 755 29698989</v>
      </c>
      <c r="C5" s="29"/>
      <c r="D5" s="28"/>
      <c r="E5" s="28"/>
      <c r="F5" s="30"/>
      <c r="H5" s="22"/>
      <c r="I5" s="83" t="str">
        <f>'Invoice '!J6</f>
        <v>DELIVERY TERMS: CPT NOIBAI</v>
      </c>
      <c r="J5" s="84"/>
      <c r="K5" s="84"/>
      <c r="L5" s="85"/>
    </row>
    <row r="6" ht="15" customHeight="1" spans="1:12">
      <c r="A6" s="12" t="s">
        <v>47</v>
      </c>
      <c r="B6" s="13"/>
      <c r="C6" s="14"/>
      <c r="D6" s="13"/>
      <c r="E6" s="13"/>
      <c r="F6" s="15"/>
      <c r="G6" s="16"/>
      <c r="H6" s="31"/>
      <c r="I6" s="83" t="str">
        <f>'Invoice '!J7</f>
        <v>PORT OF LOADING: SHENZHEN</v>
      </c>
      <c r="J6" s="84"/>
      <c r="K6" s="84"/>
      <c r="L6" s="85"/>
    </row>
    <row r="7" ht="15" customHeight="1" spans="1:12">
      <c r="A7" s="18"/>
      <c r="B7" s="19" t="str">
        <f>'Invoice '!B7</f>
        <v>NAME: MOONPO DEVELOPMENT(VIETNAM) LIMITED</v>
      </c>
      <c r="C7" s="20"/>
      <c r="D7" s="19"/>
      <c r="E7" s="19"/>
      <c r="F7" s="21"/>
      <c r="H7" s="22"/>
      <c r="I7" s="83" t="str">
        <f>'Invoice '!J8</f>
        <v>PORT OF DISCHARGE: NOIBAI</v>
      </c>
      <c r="J7" s="84"/>
      <c r="K7" s="84"/>
      <c r="L7" s="85"/>
    </row>
    <row r="8" ht="15" customHeight="1" spans="1:12">
      <c r="A8" s="18"/>
      <c r="B8" s="23" t="str">
        <f>'Invoice '!B8</f>
        <v>ADDRESS: LOT CN-01，DONG VAN IV INDUSTRIAL ZONE,LE HO WARD,NINH BINH PROVINCE, VIET NAM</v>
      </c>
      <c r="C8" s="24"/>
      <c r="D8" s="23"/>
      <c r="E8" s="23"/>
      <c r="F8" s="25"/>
      <c r="H8" s="22"/>
      <c r="I8" s="83" t="str">
        <f>'Invoice '!J9</f>
        <v>PORT OF TRANSIT:</v>
      </c>
      <c r="J8" s="84"/>
      <c r="K8" s="84"/>
      <c r="L8" s="85"/>
    </row>
    <row r="9" ht="15" customHeight="1" spans="1:12">
      <c r="A9" s="18"/>
      <c r="B9" s="23"/>
      <c r="C9" s="24"/>
      <c r="D9" s="23"/>
      <c r="E9" s="23"/>
      <c r="F9" s="25"/>
      <c r="H9" s="22"/>
      <c r="I9" s="83" t="str">
        <f>'Invoice '!J10</f>
        <v>ETD POL:2025-07-04</v>
      </c>
      <c r="J9" s="84"/>
      <c r="K9" s="84"/>
      <c r="L9" s="85"/>
    </row>
    <row r="10" ht="15" customHeight="1" spans="1:12">
      <c r="A10" s="18"/>
      <c r="B10" s="32" t="str">
        <f>'Invoice '!B10</f>
        <v>TAX NUMBER: 0700834811</v>
      </c>
      <c r="C10" s="33"/>
      <c r="D10" s="32"/>
      <c r="E10" s="32"/>
      <c r="F10" s="34"/>
      <c r="H10" s="22"/>
      <c r="I10" s="83" t="str">
        <f>'Invoice '!J11</f>
        <v>ETA POD:2025-07-08</v>
      </c>
      <c r="J10" s="84"/>
      <c r="K10" s="84"/>
      <c r="L10" s="85"/>
    </row>
    <row r="11" ht="15" customHeight="1" spans="1:12">
      <c r="A11" s="18"/>
      <c r="B11" s="32" t="str">
        <f>'Invoice '!B11</f>
        <v>TELL:+84 9885 16638, Email: ltlien@moonpo.com</v>
      </c>
      <c r="C11" s="33"/>
      <c r="D11" s="32"/>
      <c r="E11" s="32"/>
      <c r="F11" s="34"/>
      <c r="H11" s="35"/>
      <c r="I11" s="88"/>
      <c r="J11" s="89"/>
      <c r="K11" s="89"/>
      <c r="L11" s="90"/>
    </row>
    <row r="12" ht="15" customHeight="1" spans="1:12">
      <c r="A12" s="36" t="s">
        <v>58</v>
      </c>
      <c r="B12" s="37"/>
      <c r="C12" s="38"/>
      <c r="D12" s="37"/>
      <c r="E12" s="37"/>
      <c r="F12" s="39"/>
      <c r="G12" s="16"/>
      <c r="H12" s="40"/>
      <c r="I12" s="91"/>
      <c r="J12" s="92"/>
      <c r="K12" s="92"/>
      <c r="L12" s="93"/>
    </row>
    <row r="13" spans="1:12">
      <c r="A13" s="41" t="s">
        <v>11</v>
      </c>
      <c r="B13" s="42" t="s">
        <v>59</v>
      </c>
      <c r="C13" s="43"/>
      <c r="D13" s="43"/>
      <c r="E13" s="44"/>
      <c r="F13" s="45" t="s">
        <v>71</v>
      </c>
      <c r="G13" s="46" t="s">
        <v>14</v>
      </c>
      <c r="H13" s="47" t="s">
        <v>72</v>
      </c>
      <c r="I13" s="46" t="s">
        <v>73</v>
      </c>
      <c r="J13" s="46" t="s">
        <v>74</v>
      </c>
      <c r="K13" s="50" t="s">
        <v>75</v>
      </c>
      <c r="L13" s="94" t="s">
        <v>76</v>
      </c>
    </row>
    <row r="14" ht="27" spans="1:12">
      <c r="A14" s="48"/>
      <c r="B14" s="49" t="s">
        <v>62</v>
      </c>
      <c r="C14" s="49" t="s">
        <v>77</v>
      </c>
      <c r="D14" s="38" t="s">
        <v>78</v>
      </c>
      <c r="E14" s="50" t="s">
        <v>20</v>
      </c>
      <c r="F14" s="51"/>
      <c r="G14" s="52"/>
      <c r="H14" s="53"/>
      <c r="I14" s="52"/>
      <c r="J14" s="52"/>
      <c r="K14" s="50"/>
      <c r="L14" s="95"/>
    </row>
    <row r="15" s="1" customFormat="1" ht="28" customHeight="1" spans="1:12">
      <c r="A15" s="54">
        <v>1</v>
      </c>
      <c r="B15" s="55" t="s">
        <v>2</v>
      </c>
      <c r="C15" s="55">
        <v>1</v>
      </c>
      <c r="D15" s="56" t="s">
        <v>21</v>
      </c>
      <c r="E15" s="57" t="s">
        <v>22</v>
      </c>
      <c r="F15" s="58">
        <v>1</v>
      </c>
      <c r="G15" s="59" t="s">
        <v>23</v>
      </c>
      <c r="H15" s="60" t="s">
        <v>79</v>
      </c>
      <c r="I15" s="96" t="s">
        <v>80</v>
      </c>
      <c r="J15" s="97">
        <v>0.47</v>
      </c>
      <c r="K15" s="98">
        <v>2.37</v>
      </c>
      <c r="L15" s="99"/>
    </row>
    <row r="16" s="1" customFormat="1" ht="28" customHeight="1" spans="1:12">
      <c r="A16" s="54">
        <v>2</v>
      </c>
      <c r="B16" s="55" t="s">
        <v>2</v>
      </c>
      <c r="C16" s="55">
        <v>2</v>
      </c>
      <c r="D16" s="56" t="s">
        <v>25</v>
      </c>
      <c r="E16" s="57" t="s">
        <v>26</v>
      </c>
      <c r="F16" s="58">
        <v>1</v>
      </c>
      <c r="G16" s="59" t="s">
        <v>23</v>
      </c>
      <c r="H16" s="60" t="s">
        <v>79</v>
      </c>
      <c r="I16" s="96" t="s">
        <v>80</v>
      </c>
      <c r="J16" s="100">
        <v>0.8</v>
      </c>
      <c r="K16" s="98">
        <v>0</v>
      </c>
      <c r="L16" s="99"/>
    </row>
    <row r="17" s="1" customFormat="1" ht="28" customHeight="1" spans="1:12">
      <c r="A17" s="54">
        <v>3</v>
      </c>
      <c r="B17" s="55" t="s">
        <v>2</v>
      </c>
      <c r="C17" s="55">
        <v>3</v>
      </c>
      <c r="D17" s="56" t="s">
        <v>27</v>
      </c>
      <c r="E17" s="57" t="s">
        <v>26</v>
      </c>
      <c r="F17" s="58">
        <v>1</v>
      </c>
      <c r="G17" s="59" t="s">
        <v>23</v>
      </c>
      <c r="H17" s="60" t="s">
        <v>79</v>
      </c>
      <c r="I17" s="96" t="s">
        <v>80</v>
      </c>
      <c r="J17" s="100">
        <v>0.77</v>
      </c>
      <c r="K17" s="98">
        <v>0</v>
      </c>
      <c r="L17" s="99"/>
    </row>
    <row r="18" s="2" customFormat="1" ht="29" customHeight="1" spans="1:12">
      <c r="A18" s="61" t="s">
        <v>28</v>
      </c>
      <c r="B18" s="62"/>
      <c r="C18" s="62"/>
      <c r="D18" s="62"/>
      <c r="E18" s="62"/>
      <c r="F18" s="63">
        <f>SUM(F15:F17)</f>
        <v>3</v>
      </c>
      <c r="G18" s="64"/>
      <c r="H18" s="65"/>
      <c r="I18" s="101"/>
      <c r="J18" s="102">
        <f>SUM(J15:J17)</f>
        <v>2.04</v>
      </c>
      <c r="K18" s="103">
        <f>SUM(K15:K17)</f>
        <v>2.37</v>
      </c>
      <c r="L18" s="104"/>
    </row>
    <row r="19" ht="18" customHeight="1" spans="1:12">
      <c r="A19" s="66" t="s">
        <v>81</v>
      </c>
      <c r="B19" s="67"/>
      <c r="C19" s="68"/>
      <c r="D19" s="67"/>
      <c r="E19" s="67"/>
      <c r="F19" s="69"/>
      <c r="G19" s="70"/>
      <c r="H19" s="70"/>
      <c r="I19" s="105"/>
      <c r="J19" s="106"/>
      <c r="K19" s="106"/>
      <c r="L19" s="107"/>
    </row>
    <row r="20" ht="18" customHeight="1" spans="1:12">
      <c r="A20" s="71"/>
      <c r="B20" s="67"/>
      <c r="C20" s="68"/>
      <c r="D20" s="67"/>
      <c r="E20" s="67"/>
      <c r="F20" s="72" t="s">
        <v>69</v>
      </c>
      <c r="G20" s="70"/>
      <c r="H20" s="70"/>
      <c r="I20" s="105"/>
      <c r="J20" s="106"/>
      <c r="K20" s="106"/>
      <c r="L20" s="108"/>
    </row>
    <row r="21" spans="1:12">
      <c r="A21" s="71"/>
      <c r="B21" s="67"/>
      <c r="C21" s="68"/>
      <c r="D21" s="67"/>
      <c r="E21" s="67"/>
      <c r="F21" s="69"/>
      <c r="G21" s="68"/>
      <c r="H21" s="67"/>
      <c r="I21" s="109"/>
      <c r="J21" s="110"/>
      <c r="K21" s="110"/>
      <c r="L21" s="111"/>
    </row>
    <row r="22" spans="1:12">
      <c r="A22" s="71"/>
      <c r="B22" s="67"/>
      <c r="C22" s="68"/>
      <c r="D22" s="67"/>
      <c r="E22" s="67"/>
      <c r="F22" s="69"/>
      <c r="G22" s="68"/>
      <c r="H22" s="67"/>
      <c r="I22" s="109"/>
      <c r="J22" s="110"/>
      <c r="K22" s="110"/>
      <c r="L22" s="111"/>
    </row>
    <row r="23" spans="1:12">
      <c r="A23" s="71"/>
      <c r="B23" s="67"/>
      <c r="C23" s="68"/>
      <c r="D23" s="67"/>
      <c r="E23" s="67"/>
      <c r="F23" s="69"/>
      <c r="G23" s="68"/>
      <c r="H23" s="67"/>
      <c r="I23" s="109"/>
      <c r="J23" s="110"/>
      <c r="K23" s="110"/>
      <c r="L23" s="111"/>
    </row>
    <row r="24" spans="1:12">
      <c r="A24" s="71"/>
      <c r="B24" s="67"/>
      <c r="C24" s="68"/>
      <c r="D24" s="67"/>
      <c r="E24" s="67"/>
      <c r="F24" s="69"/>
      <c r="G24" s="68"/>
      <c r="H24" s="67"/>
      <c r="I24" s="109"/>
      <c r="J24" s="110"/>
      <c r="K24" s="110"/>
      <c r="L24" s="111"/>
    </row>
    <row r="25" spans="1:12">
      <c r="A25" s="71"/>
      <c r="B25" s="67"/>
      <c r="C25" s="68"/>
      <c r="D25" s="67"/>
      <c r="E25" s="67"/>
      <c r="F25" s="69"/>
      <c r="G25" s="68"/>
      <c r="H25" s="67"/>
      <c r="I25" s="109"/>
      <c r="J25" s="110"/>
      <c r="K25" s="110"/>
      <c r="L25" s="111"/>
    </row>
    <row r="26" spans="1:12">
      <c r="A26" s="71"/>
      <c r="B26" s="67"/>
      <c r="C26" s="68"/>
      <c r="D26" s="67"/>
      <c r="E26" s="67"/>
      <c r="F26" s="69"/>
      <c r="G26" s="68"/>
      <c r="H26" s="67"/>
      <c r="I26" s="109"/>
      <c r="J26" s="110"/>
      <c r="K26" s="110"/>
      <c r="L26" s="111"/>
    </row>
    <row r="27" ht="14.25" spans="1:12">
      <c r="A27" s="73"/>
      <c r="B27" s="74"/>
      <c r="C27" s="75"/>
      <c r="D27" s="74"/>
      <c r="E27" s="74"/>
      <c r="F27" s="76"/>
      <c r="G27" s="75"/>
      <c r="H27" s="74"/>
      <c r="I27" s="112"/>
      <c r="J27" s="113"/>
      <c r="K27" s="113"/>
      <c r="L27" s="114"/>
    </row>
    <row r="28" ht="14.25"/>
  </sheetData>
  <mergeCells count="22">
    <mergeCell ref="A1:L1"/>
    <mergeCell ref="A2:F2"/>
    <mergeCell ref="B3:F3"/>
    <mergeCell ref="B4:F4"/>
    <mergeCell ref="B5:F5"/>
    <mergeCell ref="A6:F6"/>
    <mergeCell ref="B7:F7"/>
    <mergeCell ref="B10:F10"/>
    <mergeCell ref="B11:F11"/>
    <mergeCell ref="A12:F12"/>
    <mergeCell ref="B13:E13"/>
    <mergeCell ref="A18:E18"/>
    <mergeCell ref="F20:L20"/>
    <mergeCell ref="A13:A14"/>
    <mergeCell ref="F13:F14"/>
    <mergeCell ref="G13:G14"/>
    <mergeCell ref="H13:H14"/>
    <mergeCell ref="I13:I14"/>
    <mergeCell ref="J13:J14"/>
    <mergeCell ref="K13:K14"/>
    <mergeCell ref="L13:L14"/>
    <mergeCell ref="B8:F9"/>
  </mergeCells>
  <pageMargins left="0.159027777777778" right="0.209027777777778" top="0.388888888888889" bottom="0.509027777777778" header="0.3" footer="0.3"/>
  <pageSetup paperSize="9" scale="61" orientation="portrait"/>
  <headerFooter>
    <oddFooter>&amp;C&amp;P/&amp;N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J9" rgbClr="0F9A4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H90166</vt:lpstr>
      <vt:lpstr>Invoice </vt:lpstr>
      <vt:lpstr>Packing list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</dc:creator>
  <cp:lastModifiedBy>MSD03</cp:lastModifiedBy>
  <dcterms:created xsi:type="dcterms:W3CDTF">2023-09-05T01:47:00Z</dcterms:created>
  <dcterms:modified xsi:type="dcterms:W3CDTF">2025-07-04T08:28:23Z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A6319EFC6652419CBF49F367396E2660</vt:lpwstr>
  </property>
  <property fmtid="{D5CDD505-2E9C-101B-9397-08002B2CF9AE}" pid="3" name="KSOProductBuildVer">
    <vt:lpwstr>2052-11.1.0.11636</vt:lpwstr>
  </property>
</Properties>
</file>