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<sst xmlns="http://schemas.openxmlformats.org/spreadsheetml/2006/main" count="311" uniqueCount="151">
  <si>
    <t>1) ENGLISH ITEM NAME
 (ex : OOOO machine)</t>
  </si>
  <si>
    <t>2)中文名称</t>
  </si>
  <si>
    <t>3) MANUFACTUROR
(ex : OOO company)</t>
  </si>
  <si>
    <t>4) MODEL NO 
(ex : abc-123)</t>
  </si>
  <si>
    <t>TRAVEL-F05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</si>
  <si>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</si>
  <si>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</si>
  <si>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</si>
  <si>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</si>
  <si>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</si>
  <si>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</si>
  <si>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</si>
  <si>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</si>
  <si>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</si>
  <si>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</si>
  <si>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</si>
  <si>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</si>
  <si>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</si>
  <si>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</si>
  <si>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</si>
  <si>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</si>
  <si>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</si>
  <si>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</si>
  <si>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</si>
  <si>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</si>
  <si>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</si>
  <si>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</si>
  <si>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Drive the handle screw fixture</t>
  </si>
  <si>
    <t>打手柄螺丝治具</t>
  </si>
  <si>
    <t>Techsen Electronics(ShenZhen)Co.,Ltd</t>
  </si>
  <si>
    <t>CROSS FIRE</t>
  </si>
  <si>
    <t xml:space="preserve"> CROSSFIRE F01A</t>
  </si>
  <si>
    <t>电木</t>
  </si>
  <si>
    <t>CHINA</t>
  </si>
  <si>
    <t>NEW</t>
  </si>
  <si>
    <t>B2</t>
  </si>
  <si>
    <t>63x27x40</t>
  </si>
  <si>
    <t>17x14x2.5</t>
  </si>
  <si>
    <t>Production Assemble</t>
  </si>
  <si>
    <t>NO</t>
  </si>
  <si>
    <t>Drill the finished screw fixture</t>
  </si>
  <si>
    <t>打成品螺丝治具</t>
  </si>
  <si>
    <t xml:space="preserve"> CROSSFIRE F02A</t>
  </si>
  <si>
    <t>32.5x32.5x3</t>
  </si>
  <si>
    <t>Beer marble fixture</t>
  </si>
  <si>
    <t>啤弹珠治具</t>
  </si>
  <si>
    <t xml:space="preserve"> CROSSFIRE F03A</t>
  </si>
  <si>
    <t>17x11x5.5</t>
  </si>
  <si>
    <t>Counting fixture</t>
  </si>
  <si>
    <t>计数治具</t>
  </si>
  <si>
    <t xml:space="preserve"> CROSSFIRE F04A</t>
  </si>
  <si>
    <t>电木/铝</t>
  </si>
  <si>
    <t>36x12x26</t>
  </si>
  <si>
    <t>Use the console date fixture</t>
  </si>
  <si>
    <t xml:space="preserve"> 打主机日期治具</t>
  </si>
  <si>
    <t xml:space="preserve"> CROSSFIRE F05A</t>
  </si>
  <si>
    <t>31.5x33x2.5</t>
  </si>
  <si>
    <t>Polish the pen tip fixture</t>
  </si>
  <si>
    <t xml:space="preserve">  打磨笔头治具</t>
  </si>
  <si>
    <t>TRAVEL OPERATION</t>
  </si>
  <si>
    <t>TRAVEL-F01</t>
  </si>
  <si>
    <t>17.5x12.5x15</t>
  </si>
  <si>
    <t>Welding fixture</t>
  </si>
  <si>
    <t>焊介子治具</t>
  </si>
  <si>
    <t>TRAVEL-F02</t>
  </si>
  <si>
    <t>21x10x3</t>
  </si>
  <si>
    <t>Soldering fixture</t>
  </si>
  <si>
    <t>Welding probe lead fixture</t>
  </si>
  <si>
    <t>焊探笔引线治具</t>
  </si>
  <si>
    <t>TRAVEL-F03</t>
  </si>
  <si>
    <t>铝</t>
  </si>
  <si>
    <t>5x7x5</t>
  </si>
  <si>
    <t>Pull out the pen wire fixture</t>
  </si>
  <si>
    <t>拉探笔线治具</t>
  </si>
  <si>
    <t>TRAVEL-F04</t>
  </si>
  <si>
    <t>67x15x7</t>
  </si>
  <si>
    <t>Panel separation fixture</t>
  </si>
  <si>
    <t>分板治具</t>
  </si>
  <si>
    <t>电木/铁</t>
  </si>
  <si>
    <t>B3</t>
  </si>
  <si>
    <t>55x37x20</t>
  </si>
  <si>
    <t>23x11x1.5</t>
  </si>
  <si>
    <t>Press the battery cell into the shell fixture</t>
  </si>
  <si>
    <t>压电池片入壳治具</t>
  </si>
  <si>
    <t>TRAVEL-F06</t>
  </si>
  <si>
    <t>电木/铁/铝</t>
  </si>
  <si>
    <t>15x15x10</t>
  </si>
  <si>
    <t>Press the battery cells into the fixture</t>
  </si>
  <si>
    <t>压电池片到位治具</t>
  </si>
  <si>
    <t>TRAVEL-F07</t>
  </si>
  <si>
    <t>Bending battery cell foot fixture</t>
  </si>
  <si>
    <t>压弯电池片脚治具</t>
  </si>
  <si>
    <t>TRAVEL-F08</t>
  </si>
  <si>
    <t>Beer nut fixture</t>
  </si>
  <si>
    <t>啤螺母治具</t>
  </si>
  <si>
    <t>TRAVEL-F09</t>
  </si>
  <si>
    <t>电木/铜</t>
  </si>
  <si>
    <t>23x14x1.5</t>
  </si>
  <si>
    <t>Inhale and apply the sticker fixture</t>
  </si>
  <si>
    <t>吸气贴贴纸治具</t>
  </si>
  <si>
    <t>TRAVEL-F10</t>
  </si>
  <si>
    <t>塑胶/纤维板</t>
  </si>
  <si>
    <t>25x12x4</t>
  </si>
  <si>
    <t>Install the iron sheet fixture</t>
  </si>
  <si>
    <t>装铁片治具</t>
  </si>
  <si>
    <t>TRAVEL-F11</t>
  </si>
  <si>
    <t>25x12x1.5</t>
  </si>
  <si>
    <t>Hit the shell screw fixture</t>
  </si>
  <si>
    <t>打中壳螺丝治具</t>
  </si>
  <si>
    <t>TRAVEL-F12</t>
  </si>
  <si>
    <t>The screw machine hit the small screw fixture of the shell</t>
  </si>
  <si>
    <t>螺丝机打中壳
小螺丝治具</t>
  </si>
  <si>
    <t>TRAVEL-F13</t>
  </si>
  <si>
    <t>Welding horn wire fixture</t>
  </si>
  <si>
    <t>焊喇叭线治具</t>
  </si>
  <si>
    <t>TRAVEL-F14</t>
  </si>
  <si>
    <t>24x6.5x4</t>
  </si>
  <si>
    <t>Screwdriver fixtures for PCB boards</t>
  </si>
  <si>
    <t>打PCB板螺丝治具</t>
  </si>
  <si>
    <t>TRAVEL-F15</t>
  </si>
  <si>
    <t>Screw machine screw fixture for the main machine</t>
  </si>
  <si>
    <t>螺丝机打主机
螺丝治具</t>
  </si>
  <si>
    <t>TRAVEL-F16</t>
  </si>
  <si>
    <t>22.5x19x5</t>
  </si>
  <si>
    <t>Mark the date of the main unit and the battery door fixture</t>
  </si>
  <si>
    <t>打主机日期及
电池门治具</t>
  </si>
  <si>
    <t>TRAVEL-F17</t>
  </si>
  <si>
    <t>22x20x1.5</t>
  </si>
  <si>
    <t>Punching box hole fixture</t>
  </si>
  <si>
    <t>冲彩盒孔治具</t>
  </si>
  <si>
    <t>TRAVEL-F18</t>
  </si>
  <si>
    <t>30x20x9</t>
  </si>
  <si>
    <t>Biaxial stretching column fixture</t>
  </si>
  <si>
    <t>啤胶柱治具</t>
  </si>
  <si>
    <t>Operation Bluey</t>
  </si>
  <si>
    <t>Opera F01A</t>
  </si>
  <si>
    <t>铝、铜</t>
  </si>
  <si>
    <t>B4</t>
  </si>
  <si>
    <t>41x27x35</t>
  </si>
  <si>
    <t>39x23.5x7.5</t>
  </si>
  <si>
    <t>Stencil</t>
  </si>
  <si>
    <t>钢网</t>
  </si>
  <si>
    <t>Shenzhen Changke Excellence Technology Co., LTD</t>
  </si>
  <si>
    <t>100-13002-02-01 V01</t>
  </si>
  <si>
    <t>钢/铝</t>
  </si>
  <si>
    <t>2025.09.24</t>
  </si>
  <si>
    <t>China</t>
  </si>
  <si>
    <t>B5</t>
  </si>
  <si>
    <t>48*40*3</t>
  </si>
  <si>
    <t>47*37*2CM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</si>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</sst>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2"/>
      <color theme="1"/>
      <name val="Calibri"/>
      <charset val="134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7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109855</xdr:colOff>
      <xdr:row>1</xdr:row>
      <xdr:rowOff>41275</xdr:rowOff>
    </xdr:from>
    <xdr:to>
      <xdr:col>14</xdr:col>
      <xdr:colOff>2019300</xdr:colOff>
      <xdr:row>1</xdr:row>
      <xdr:rowOff>1246505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141055" y="422275"/>
          <a:ext cx="190944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27940</xdr:colOff>
      <xdr:row>8</xdr:row>
      <xdr:rowOff>27940</xdr:rowOff>
    </xdr:from>
    <xdr:to>
      <xdr:col>14</xdr:col>
      <xdr:colOff>2076450</xdr:colOff>
      <xdr:row>8</xdr:row>
      <xdr:rowOff>1286510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059140" y="9933940"/>
          <a:ext cx="2048510" cy="1258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123190</xdr:colOff>
      <xdr:row>2</xdr:row>
      <xdr:rowOff>66675</xdr:rowOff>
    </xdr:from>
    <xdr:to>
      <xdr:col>14</xdr:col>
      <xdr:colOff>1970405</xdr:colOff>
      <xdr:row>2</xdr:row>
      <xdr:rowOff>1238250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154390" y="1781175"/>
          <a:ext cx="184721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68580</xdr:colOff>
      <xdr:row>3</xdr:row>
      <xdr:rowOff>66675</xdr:rowOff>
    </xdr:from>
    <xdr:to>
      <xdr:col>14</xdr:col>
      <xdr:colOff>1990090</xdr:colOff>
      <xdr:row>3</xdr:row>
      <xdr:rowOff>1209675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099780" y="3114675"/>
          <a:ext cx="192151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69850</xdr:colOff>
      <xdr:row>4</xdr:row>
      <xdr:rowOff>9525</xdr:rowOff>
    </xdr:from>
    <xdr:to>
      <xdr:col>14</xdr:col>
      <xdr:colOff>2047875</xdr:colOff>
      <xdr:row>4</xdr:row>
      <xdr:rowOff>1247775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101050" y="4391025"/>
          <a:ext cx="19780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85090</xdr:colOff>
      <xdr:row>5</xdr:row>
      <xdr:rowOff>142875</xdr:rowOff>
    </xdr:from>
    <xdr:to>
      <xdr:col>14</xdr:col>
      <xdr:colOff>1951990</xdr:colOff>
      <xdr:row>5</xdr:row>
      <xdr:rowOff>1247775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116290" y="5857875"/>
          <a:ext cx="18669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64135</xdr:colOff>
      <xdr:row>6</xdr:row>
      <xdr:rowOff>53340</xdr:rowOff>
    </xdr:from>
    <xdr:to>
      <xdr:col>14</xdr:col>
      <xdr:colOff>2076450</xdr:colOff>
      <xdr:row>6</xdr:row>
      <xdr:rowOff>1292225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095335" y="7292340"/>
          <a:ext cx="201231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17145</xdr:colOff>
      <xdr:row>7</xdr:row>
      <xdr:rowOff>3175</xdr:rowOff>
    </xdr:from>
    <xdr:to>
      <xdr:col>14</xdr:col>
      <xdr:colOff>2066925</xdr:colOff>
      <xdr:row>7</xdr:row>
      <xdr:rowOff>1260475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048345" y="8575675"/>
          <a:ext cx="2049780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100965</xdr:colOff>
      <xdr:row>12</xdr:row>
      <xdr:rowOff>107950</xdr:rowOff>
    </xdr:from>
    <xdr:to>
      <xdr:col>14</xdr:col>
      <xdr:colOff>1983105</xdr:colOff>
      <xdr:row>12</xdr:row>
      <xdr:rowOff>1173480</xdr:rowOff>
    </xdr:to>
    <xdr:pic>
      <xdr:nvPicPr>
        <xdr:cNvPr id="38" name="图片 3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132165" y="15347950"/>
          <a:ext cx="188214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12065</xdr:colOff>
      <xdr:row>9</xdr:row>
      <xdr:rowOff>114300</xdr:rowOff>
    </xdr:from>
    <xdr:to>
      <xdr:col>14</xdr:col>
      <xdr:colOff>2056765</xdr:colOff>
      <xdr:row>9</xdr:row>
      <xdr:rowOff>1222375</xdr:rowOff>
    </xdr:to>
    <xdr:pic>
      <xdr:nvPicPr>
        <xdr:cNvPr id="39" name="图片 3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043265" y="11353800"/>
          <a:ext cx="204470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130810</xdr:colOff>
      <xdr:row>10</xdr:row>
      <xdr:rowOff>95250</xdr:rowOff>
    </xdr:from>
    <xdr:to>
      <xdr:col>14</xdr:col>
      <xdr:colOff>1988185</xdr:colOff>
      <xdr:row>10</xdr:row>
      <xdr:rowOff>1248410</xdr:rowOff>
    </xdr:to>
    <xdr:pic>
      <xdr:nvPicPr>
        <xdr:cNvPr id="45" name="图片 44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162010" y="12668250"/>
          <a:ext cx="1857375" cy="115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17145</xdr:colOff>
      <xdr:row>11</xdr:row>
      <xdr:rowOff>57150</xdr:rowOff>
    </xdr:from>
    <xdr:to>
      <xdr:col>14</xdr:col>
      <xdr:colOff>2054860</xdr:colOff>
      <xdr:row>11</xdr:row>
      <xdr:rowOff>1256030</xdr:rowOff>
    </xdr:to>
    <xdr:pic>
      <xdr:nvPicPr>
        <xdr:cNvPr id="59" name="图片 5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048345" y="13963650"/>
          <a:ext cx="2037715" cy="119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142240</xdr:colOff>
      <xdr:row>20</xdr:row>
      <xdr:rowOff>76200</xdr:rowOff>
    </xdr:from>
    <xdr:to>
      <xdr:col>14</xdr:col>
      <xdr:colOff>2018030</xdr:colOff>
      <xdr:row>20</xdr:row>
      <xdr:rowOff>1179830</xdr:rowOff>
    </xdr:to>
    <xdr:pic>
      <xdr:nvPicPr>
        <xdr:cNvPr id="60" name="图片 59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173440" y="25984200"/>
          <a:ext cx="1875790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66040</xdr:colOff>
      <xdr:row>13</xdr:row>
      <xdr:rowOff>0</xdr:rowOff>
    </xdr:from>
    <xdr:to>
      <xdr:col>14</xdr:col>
      <xdr:colOff>1980565</xdr:colOff>
      <xdr:row>13</xdr:row>
      <xdr:rowOff>1203325</xdr:rowOff>
    </xdr:to>
    <xdr:pic>
      <xdr:nvPicPr>
        <xdr:cNvPr id="61" name="图片 6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097240" y="16573500"/>
          <a:ext cx="1914525" cy="120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18415</xdr:colOff>
      <xdr:row>14</xdr:row>
      <xdr:rowOff>19050</xdr:rowOff>
    </xdr:from>
    <xdr:to>
      <xdr:col>14</xdr:col>
      <xdr:colOff>2067560</xdr:colOff>
      <xdr:row>14</xdr:row>
      <xdr:rowOff>1287145</xdr:rowOff>
    </xdr:to>
    <xdr:pic>
      <xdr:nvPicPr>
        <xdr:cNvPr id="62" name="图片 61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1049615" y="17926050"/>
          <a:ext cx="2049145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43180</xdr:colOff>
      <xdr:row>17</xdr:row>
      <xdr:rowOff>76200</xdr:rowOff>
    </xdr:from>
    <xdr:to>
      <xdr:col>14</xdr:col>
      <xdr:colOff>1942465</xdr:colOff>
      <xdr:row>17</xdr:row>
      <xdr:rowOff>1172210</xdr:rowOff>
    </xdr:to>
    <xdr:pic>
      <xdr:nvPicPr>
        <xdr:cNvPr id="65" name="图片 64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1074380" y="21983700"/>
          <a:ext cx="189928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73660</xdr:colOff>
      <xdr:row>18</xdr:row>
      <xdr:rowOff>133350</xdr:rowOff>
    </xdr:from>
    <xdr:to>
      <xdr:col>14</xdr:col>
      <xdr:colOff>2035810</xdr:colOff>
      <xdr:row>18</xdr:row>
      <xdr:rowOff>1247775</xdr:rowOff>
    </xdr:to>
    <xdr:pic>
      <xdr:nvPicPr>
        <xdr:cNvPr id="66" name="图片 65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104860" y="23374350"/>
          <a:ext cx="196215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85090</xdr:colOff>
      <xdr:row>19</xdr:row>
      <xdr:rowOff>76200</xdr:rowOff>
    </xdr:from>
    <xdr:to>
      <xdr:col>14</xdr:col>
      <xdr:colOff>2073910</xdr:colOff>
      <xdr:row>19</xdr:row>
      <xdr:rowOff>1269365</xdr:rowOff>
    </xdr:to>
    <xdr:pic>
      <xdr:nvPicPr>
        <xdr:cNvPr id="67" name="图片 66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1116290" y="24650700"/>
          <a:ext cx="1988820" cy="1193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53975</xdr:colOff>
      <xdr:row>23</xdr:row>
      <xdr:rowOff>104775</xdr:rowOff>
    </xdr:from>
    <xdr:to>
      <xdr:col>14</xdr:col>
      <xdr:colOff>2097405</xdr:colOff>
      <xdr:row>23</xdr:row>
      <xdr:rowOff>1285875</xdr:rowOff>
    </xdr:to>
    <xdr:pic>
      <xdr:nvPicPr>
        <xdr:cNvPr id="68" name="图片 67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1085175" y="30013275"/>
          <a:ext cx="204343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75565</xdr:colOff>
      <xdr:row>21</xdr:row>
      <xdr:rowOff>152400</xdr:rowOff>
    </xdr:from>
    <xdr:to>
      <xdr:col>14</xdr:col>
      <xdr:colOff>2028190</xdr:colOff>
      <xdr:row>21</xdr:row>
      <xdr:rowOff>1217295</xdr:rowOff>
    </xdr:to>
    <xdr:pic>
      <xdr:nvPicPr>
        <xdr:cNvPr id="69" name="图片 68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1106765" y="27393900"/>
          <a:ext cx="1952625" cy="1064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66040</xdr:colOff>
      <xdr:row>22</xdr:row>
      <xdr:rowOff>151765</xdr:rowOff>
    </xdr:from>
    <xdr:to>
      <xdr:col>14</xdr:col>
      <xdr:colOff>1981835</xdr:colOff>
      <xdr:row>22</xdr:row>
      <xdr:rowOff>1233170</xdr:rowOff>
    </xdr:to>
    <xdr:pic>
      <xdr:nvPicPr>
        <xdr:cNvPr id="70" name="图片 69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1097240" y="28726765"/>
          <a:ext cx="191579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125095</xdr:colOff>
      <xdr:row>1</xdr:row>
      <xdr:rowOff>38100</xdr:rowOff>
    </xdr:from>
    <xdr:to>
      <xdr:col>13</xdr:col>
      <xdr:colOff>1882775</xdr:colOff>
      <xdr:row>1</xdr:row>
      <xdr:rowOff>1261110</xdr:rowOff>
    </xdr:to>
    <xdr:pic>
      <xdr:nvPicPr>
        <xdr:cNvPr id="2" name="图片 1" descr="20251205_11423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184620" y="419100"/>
          <a:ext cx="1757680" cy="1223010"/>
        </a:xfrm>
        <a:prstGeom prst="rect">
          <a:avLst/>
        </a:prstGeom>
      </xdr:spPr>
    </xdr:pic>
    <xdr:clientData/>
  </xdr:twoCellAnchor>
  <xdr:twoCellAnchor editAs="oneCell">
    <xdr:from>
      <xdr:col>13</xdr:col>
      <xdr:colOff>81915</xdr:colOff>
      <xdr:row>2</xdr:row>
      <xdr:rowOff>20955</xdr:rowOff>
    </xdr:from>
    <xdr:to>
      <xdr:col>13</xdr:col>
      <xdr:colOff>1901825</xdr:colOff>
      <xdr:row>2</xdr:row>
      <xdr:rowOff>1229995</xdr:rowOff>
    </xdr:to>
    <xdr:pic>
      <xdr:nvPicPr>
        <xdr:cNvPr id="3" name="图片 2" descr="20251205_1144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141440" y="1735455"/>
          <a:ext cx="1819910" cy="1209040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3</xdr:row>
      <xdr:rowOff>39370</xdr:rowOff>
    </xdr:from>
    <xdr:to>
      <xdr:col>13</xdr:col>
      <xdr:colOff>1928495</xdr:colOff>
      <xdr:row>3</xdr:row>
      <xdr:rowOff>1247140</xdr:rowOff>
    </xdr:to>
    <xdr:pic>
      <xdr:nvPicPr>
        <xdr:cNvPr id="4" name="图片 3" descr="20251205_11452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181445" y="3087370"/>
          <a:ext cx="1806575" cy="1207770"/>
        </a:xfrm>
        <a:prstGeom prst="rect">
          <a:avLst/>
        </a:prstGeom>
      </xdr:spPr>
    </xdr:pic>
    <xdr:clientData/>
  </xdr:twoCellAnchor>
  <xdr:twoCellAnchor editAs="oneCell">
    <xdr:from>
      <xdr:col>13</xdr:col>
      <xdr:colOff>112395</xdr:colOff>
      <xdr:row>5</xdr:row>
      <xdr:rowOff>74930</xdr:rowOff>
    </xdr:from>
    <xdr:to>
      <xdr:col>13</xdr:col>
      <xdr:colOff>1915795</xdr:colOff>
      <xdr:row>5</xdr:row>
      <xdr:rowOff>1478280</xdr:rowOff>
    </xdr:to>
    <xdr:pic>
      <xdr:nvPicPr>
        <xdr:cNvPr id="5" name="图片 4" descr="20251205_11463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171920" y="5789930"/>
          <a:ext cx="1803400" cy="14033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205105</xdr:colOff>
      <xdr:row>4</xdr:row>
      <xdr:rowOff>56515</xdr:rowOff>
    </xdr:from>
    <xdr:to>
      <xdr:col>13</xdr:col>
      <xdr:colOff>1765300</xdr:colOff>
      <xdr:row>4</xdr:row>
      <xdr:rowOff>1234440</xdr:rowOff>
    </xdr:to>
    <xdr:pic>
      <xdr:nvPicPr>
        <xdr:cNvPr id="6" name="图片 5" descr="20251205_13342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264630" y="4438015"/>
          <a:ext cx="1560195" cy="1177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156210</xdr:colOff>
      <xdr:row>6</xdr:row>
      <xdr:rowOff>41275</xdr:rowOff>
    </xdr:from>
    <xdr:to>
      <xdr:col>13</xdr:col>
      <xdr:colOff>1837055</xdr:colOff>
      <xdr:row>6</xdr:row>
      <xdr:rowOff>1223010</xdr:rowOff>
    </xdr:to>
    <xdr:pic>
      <xdr:nvPicPr>
        <xdr:cNvPr id="7" name="图片 6" descr="20251205_13454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215735" y="7280275"/>
          <a:ext cx="1680845" cy="1181735"/>
        </a:xfrm>
        <a:prstGeom prst="rect">
          <a:avLst/>
        </a:prstGeom>
      </xdr:spPr>
    </xdr:pic>
    <xdr:clientData/>
  </xdr:twoCellAnchor>
  <xdr:twoCellAnchor editAs="oneCell">
    <xdr:from>
      <xdr:col>13</xdr:col>
      <xdr:colOff>302895</xdr:colOff>
      <xdr:row>7</xdr:row>
      <xdr:rowOff>95250</xdr:rowOff>
    </xdr:from>
    <xdr:to>
      <xdr:col>13</xdr:col>
      <xdr:colOff>1765935</xdr:colOff>
      <xdr:row>7</xdr:row>
      <xdr:rowOff>1197610</xdr:rowOff>
    </xdr:to>
    <xdr:pic>
      <xdr:nvPicPr>
        <xdr:cNvPr id="8" name="图片 7" descr="20251205_13484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362420" y="8667750"/>
          <a:ext cx="1463040" cy="1102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156210</xdr:colOff>
      <xdr:row>8</xdr:row>
      <xdr:rowOff>89535</xdr:rowOff>
    </xdr:from>
    <xdr:to>
      <xdr:col>13</xdr:col>
      <xdr:colOff>1744980</xdr:colOff>
      <xdr:row>8</xdr:row>
      <xdr:rowOff>1283335</xdr:rowOff>
    </xdr:to>
    <xdr:pic>
      <xdr:nvPicPr>
        <xdr:cNvPr id="9" name="图片 8" descr="20251205_13514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215735" y="9995535"/>
          <a:ext cx="1588770" cy="1193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196850</xdr:colOff>
      <xdr:row>9</xdr:row>
      <xdr:rowOff>125730</xdr:rowOff>
    </xdr:from>
    <xdr:to>
      <xdr:col>13</xdr:col>
      <xdr:colOff>1859915</xdr:colOff>
      <xdr:row>9</xdr:row>
      <xdr:rowOff>1231900</xdr:rowOff>
    </xdr:to>
    <xdr:pic>
      <xdr:nvPicPr>
        <xdr:cNvPr id="10" name="图片 9" descr="20251205_13560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256375" y="11365230"/>
          <a:ext cx="1663065" cy="1106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10</xdr:row>
      <xdr:rowOff>40640</xdr:rowOff>
    </xdr:from>
    <xdr:to>
      <xdr:col>13</xdr:col>
      <xdr:colOff>1848485</xdr:colOff>
      <xdr:row>10</xdr:row>
      <xdr:rowOff>1285875</xdr:rowOff>
    </xdr:to>
    <xdr:pic>
      <xdr:nvPicPr>
        <xdr:cNvPr id="11" name="图片 10" descr="20251205_13574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250025" y="12613640"/>
          <a:ext cx="1657985" cy="1245235"/>
        </a:xfrm>
        <a:prstGeom prst="rect">
          <a:avLst/>
        </a:prstGeom>
      </xdr:spPr>
    </xdr:pic>
    <xdr:clientData/>
  </xdr:twoCellAnchor>
  <xdr:twoCellAnchor editAs="oneCell">
    <xdr:from>
      <xdr:col>13</xdr:col>
      <xdr:colOff>153670</xdr:colOff>
      <xdr:row>14</xdr:row>
      <xdr:rowOff>93980</xdr:rowOff>
    </xdr:from>
    <xdr:to>
      <xdr:col>13</xdr:col>
      <xdr:colOff>1743710</xdr:colOff>
      <xdr:row>14</xdr:row>
      <xdr:rowOff>1292225</xdr:rowOff>
    </xdr:to>
    <xdr:pic>
      <xdr:nvPicPr>
        <xdr:cNvPr id="12" name="图片 11" descr="20251205_14220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213195" y="18000980"/>
          <a:ext cx="1590040" cy="1198245"/>
        </a:xfrm>
        <a:prstGeom prst="rect">
          <a:avLst/>
        </a:prstGeom>
      </xdr:spPr>
    </xdr:pic>
    <xdr:clientData/>
  </xdr:twoCellAnchor>
  <xdr:twoCellAnchor editAs="oneCell">
    <xdr:from>
      <xdr:col>13</xdr:col>
      <xdr:colOff>128905</xdr:colOff>
      <xdr:row>15</xdr:row>
      <xdr:rowOff>44450</xdr:rowOff>
    </xdr:from>
    <xdr:to>
      <xdr:col>13</xdr:col>
      <xdr:colOff>1722120</xdr:colOff>
      <xdr:row>15</xdr:row>
      <xdr:rowOff>1242060</xdr:rowOff>
    </xdr:to>
    <xdr:pic>
      <xdr:nvPicPr>
        <xdr:cNvPr id="13" name="图片 12" descr="20251205_14305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188430" y="19284950"/>
          <a:ext cx="1593215" cy="1197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120650</xdr:colOff>
      <xdr:row>16</xdr:row>
      <xdr:rowOff>58420</xdr:rowOff>
    </xdr:from>
    <xdr:to>
      <xdr:col>13</xdr:col>
      <xdr:colOff>1717040</xdr:colOff>
      <xdr:row>16</xdr:row>
      <xdr:rowOff>1255395</xdr:rowOff>
    </xdr:to>
    <xdr:pic>
      <xdr:nvPicPr>
        <xdr:cNvPr id="14" name="图片 13" descr="20251205_14342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180175" y="20632420"/>
          <a:ext cx="1596390" cy="1196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139065</xdr:colOff>
      <xdr:row>17</xdr:row>
      <xdr:rowOff>55880</xdr:rowOff>
    </xdr:from>
    <xdr:to>
      <xdr:col>13</xdr:col>
      <xdr:colOff>1666875</xdr:colOff>
      <xdr:row>17</xdr:row>
      <xdr:rowOff>1198880</xdr:rowOff>
    </xdr:to>
    <xdr:pic>
      <xdr:nvPicPr>
        <xdr:cNvPr id="15" name="图片 14" descr="20251205_14353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198590" y="21963380"/>
          <a:ext cx="1527810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241935</xdr:colOff>
      <xdr:row>19</xdr:row>
      <xdr:rowOff>88265</xdr:rowOff>
    </xdr:from>
    <xdr:to>
      <xdr:col>13</xdr:col>
      <xdr:colOff>1692910</xdr:colOff>
      <xdr:row>19</xdr:row>
      <xdr:rowOff>1174115</xdr:rowOff>
    </xdr:to>
    <xdr:pic>
      <xdr:nvPicPr>
        <xdr:cNvPr id="16" name="图片 15" descr="20251205_14374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301460" y="24662765"/>
          <a:ext cx="1450975" cy="1085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181610</xdr:colOff>
      <xdr:row>21</xdr:row>
      <xdr:rowOff>62865</xdr:rowOff>
    </xdr:from>
    <xdr:to>
      <xdr:col>13</xdr:col>
      <xdr:colOff>1758315</xdr:colOff>
      <xdr:row>21</xdr:row>
      <xdr:rowOff>1244600</xdr:rowOff>
    </xdr:to>
    <xdr:pic>
      <xdr:nvPicPr>
        <xdr:cNvPr id="17" name="图片 16" descr="20251205_14412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241135" y="27304365"/>
          <a:ext cx="1576705" cy="1181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227965</xdr:colOff>
      <xdr:row>18</xdr:row>
      <xdr:rowOff>85725</xdr:rowOff>
    </xdr:from>
    <xdr:to>
      <xdr:col>13</xdr:col>
      <xdr:colOff>1701165</xdr:colOff>
      <xdr:row>18</xdr:row>
      <xdr:rowOff>1188085</xdr:rowOff>
    </xdr:to>
    <xdr:pic>
      <xdr:nvPicPr>
        <xdr:cNvPr id="18" name="图片 17" descr="20251205_14462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287490" y="23326725"/>
          <a:ext cx="1473200" cy="1102360"/>
        </a:xfrm>
        <a:prstGeom prst="rect">
          <a:avLst/>
        </a:prstGeom>
      </xdr:spPr>
    </xdr:pic>
    <xdr:clientData/>
  </xdr:twoCellAnchor>
  <xdr:twoCellAnchor editAs="oneCell">
    <xdr:from>
      <xdr:col>13</xdr:col>
      <xdr:colOff>223520</xdr:colOff>
      <xdr:row>20</xdr:row>
      <xdr:rowOff>109855</xdr:rowOff>
    </xdr:from>
    <xdr:to>
      <xdr:col>13</xdr:col>
      <xdr:colOff>1692275</xdr:colOff>
      <xdr:row>20</xdr:row>
      <xdr:rowOff>1210945</xdr:rowOff>
    </xdr:to>
    <xdr:pic>
      <xdr:nvPicPr>
        <xdr:cNvPr id="19" name="图片 18" descr="20251205_14510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283045" y="26017855"/>
          <a:ext cx="1468755" cy="1101090"/>
        </a:xfrm>
        <a:prstGeom prst="rect">
          <a:avLst/>
        </a:prstGeom>
      </xdr:spPr>
    </xdr:pic>
    <xdr:clientData/>
  </xdr:twoCellAnchor>
  <xdr:twoCellAnchor editAs="oneCell">
    <xdr:from>
      <xdr:col>13</xdr:col>
      <xdr:colOff>201295</xdr:colOff>
      <xdr:row>22</xdr:row>
      <xdr:rowOff>73025</xdr:rowOff>
    </xdr:from>
    <xdr:to>
      <xdr:col>13</xdr:col>
      <xdr:colOff>1726565</xdr:colOff>
      <xdr:row>22</xdr:row>
      <xdr:rowOff>1217930</xdr:rowOff>
    </xdr:to>
    <xdr:pic>
      <xdr:nvPicPr>
        <xdr:cNvPr id="20" name="图片 19" descr="20251205_14522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9260820" y="28648025"/>
          <a:ext cx="1525270" cy="1144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23</xdr:row>
      <xdr:rowOff>75565</xdr:rowOff>
    </xdr:from>
    <xdr:to>
      <xdr:col>13</xdr:col>
      <xdr:colOff>1779905</xdr:colOff>
      <xdr:row>23</xdr:row>
      <xdr:rowOff>1304290</xdr:rowOff>
    </xdr:to>
    <xdr:pic>
      <xdr:nvPicPr>
        <xdr:cNvPr id="21" name="图片 20" descr="20251205_15265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9204305" y="29984065"/>
          <a:ext cx="1635125" cy="1228725"/>
        </a:xfrm>
        <a:prstGeom prst="rect">
          <a:avLst/>
        </a:prstGeom>
      </xdr:spPr>
    </xdr:pic>
    <xdr:clientData/>
  </xdr:twoCellAnchor>
  <xdr:twoCellAnchor editAs="oneCell">
    <xdr:from>
      <xdr:col>13</xdr:col>
      <xdr:colOff>297815</xdr:colOff>
      <xdr:row>11</xdr:row>
      <xdr:rowOff>38735</xdr:rowOff>
    </xdr:from>
    <xdr:to>
      <xdr:col>13</xdr:col>
      <xdr:colOff>1694815</xdr:colOff>
      <xdr:row>11</xdr:row>
      <xdr:rowOff>1234440</xdr:rowOff>
    </xdr:to>
    <xdr:pic>
      <xdr:nvPicPr>
        <xdr:cNvPr id="22" name="图片 21" descr="20251206_153627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19357340" y="13945235"/>
          <a:ext cx="1397000" cy="1195705"/>
        </a:xfrm>
        <a:prstGeom prst="rect">
          <a:avLst/>
        </a:prstGeom>
      </xdr:spPr>
    </xdr:pic>
    <xdr:clientData/>
  </xdr:twoCellAnchor>
  <xdr:twoCellAnchor editAs="oneCell">
    <xdr:from>
      <xdr:col>13</xdr:col>
      <xdr:colOff>356235</xdr:colOff>
      <xdr:row>12</xdr:row>
      <xdr:rowOff>33655</xdr:rowOff>
    </xdr:from>
    <xdr:to>
      <xdr:col>13</xdr:col>
      <xdr:colOff>1631315</xdr:colOff>
      <xdr:row>12</xdr:row>
      <xdr:rowOff>1258570</xdr:rowOff>
    </xdr:to>
    <xdr:pic>
      <xdr:nvPicPr>
        <xdr:cNvPr id="23" name="图片 22" descr="20251206_153705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19415760" y="15273655"/>
          <a:ext cx="1275080" cy="1224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279400</xdr:colOff>
      <xdr:row>13</xdr:row>
      <xdr:rowOff>25400</xdr:rowOff>
    </xdr:from>
    <xdr:to>
      <xdr:col>13</xdr:col>
      <xdr:colOff>1543050</xdr:colOff>
      <xdr:row>13</xdr:row>
      <xdr:rowOff>1283970</xdr:rowOff>
    </xdr:to>
    <xdr:pic>
      <xdr:nvPicPr>
        <xdr:cNvPr id="24" name="图片 23" descr="20251206_153733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19338925" y="16598900"/>
          <a:ext cx="1263650" cy="1258570"/>
        </a:xfrm>
        <a:prstGeom prst="rect">
          <a:avLst/>
        </a:prstGeom>
      </xdr:spPr>
    </xdr:pic>
    <xdr:clientData/>
  </xdr:twoCellAnchor>
  <xdr:twoCellAnchor>
    <xdr:from>
      <xdr:col>14</xdr:col>
      <xdr:colOff>1062990</xdr:colOff>
      <xdr:row>25</xdr:row>
      <xdr:rowOff>41275</xdr:rowOff>
    </xdr:from>
    <xdr:to>
      <xdr:col>14</xdr:col>
      <xdr:colOff>1062990</xdr:colOff>
      <xdr:row>25</xdr:row>
      <xdr:rowOff>41275</xdr:rowOff>
    </xdr:to>
    <xdr:pic>
      <xdr:nvPicPr>
        <xdr:cNvPr id="25" name="图片 2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2094190" y="32616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215900</xdr:colOff>
      <xdr:row>25</xdr:row>
      <xdr:rowOff>80010</xdr:rowOff>
    </xdr:from>
    <xdr:to>
      <xdr:col>13</xdr:col>
      <xdr:colOff>1733550</xdr:colOff>
      <xdr:row>25</xdr:row>
      <xdr:rowOff>925195</xdr:rowOff>
    </xdr:to>
    <xdr:pic>
      <xdr:nvPicPr>
        <xdr:cNvPr id="26" name="图片 25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9275425" y="3265551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80645</xdr:colOff>
      <xdr:row>25</xdr:row>
      <xdr:rowOff>80645</xdr:rowOff>
    </xdr:from>
    <xdr:to>
      <xdr:col>14</xdr:col>
      <xdr:colOff>2113915</xdr:colOff>
      <xdr:row>25</xdr:row>
      <xdr:rowOff>937895</xdr:rowOff>
    </xdr:to>
    <xdr:pic>
      <xdr:nvPicPr>
        <xdr:cNvPr id="27" name="图片 2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1111845" y="32656145"/>
          <a:ext cx="203327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12065</xdr:colOff>
      <xdr:row>24</xdr:row>
      <xdr:rowOff>57150</xdr:rowOff>
    </xdr:from>
    <xdr:to>
      <xdr:col>14</xdr:col>
      <xdr:colOff>2082165</xdr:colOff>
      <xdr:row>24</xdr:row>
      <xdr:rowOff>1279525</xdr:rowOff>
    </xdr:to>
    <xdr:pic>
      <xdr:nvPicPr>
        <xdr:cNvPr id="28" name="图片 27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21043265" y="31299150"/>
          <a:ext cx="207010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174625</xdr:colOff>
      <xdr:row>24</xdr:row>
      <xdr:rowOff>25400</xdr:rowOff>
    </xdr:from>
    <xdr:to>
      <xdr:col>13</xdr:col>
      <xdr:colOff>1803400</xdr:colOff>
      <xdr:row>24</xdr:row>
      <xdr:rowOff>1284605</xdr:rowOff>
    </xdr:to>
    <xdr:pic>
      <xdr:nvPicPr>
        <xdr:cNvPr id="29" name="图片 28" descr="20251103_101515[1]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234150" y="31267400"/>
          <a:ext cx="1628775" cy="1259205"/>
        </a:xfrm>
        <a:prstGeom prst="rect">
          <a:avLst/>
        </a:prstGeom>
      </xdr:spPr>
    </xdr:pic>
    <xdr:clientData/>
  </xdr:twoCellAnchor>
  <xdr:twoCellAnchor editAs="oneCell">
    <xdr:from>
      <xdr:col>14</xdr:col>
      <xdr:colOff>147320</xdr:colOff>
      <xdr:row>15</xdr:row>
      <xdr:rowOff>92075</xdr:rowOff>
    </xdr:from>
    <xdr:to>
      <xdr:col>14</xdr:col>
      <xdr:colOff>1945005</xdr:colOff>
      <xdr:row>15</xdr:row>
      <xdr:rowOff>1060450</xdr:rowOff>
    </xdr:to>
    <xdr:pic>
      <xdr:nvPicPr>
        <xdr:cNvPr id="41" name="图片 4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1178520" y="19332575"/>
          <a:ext cx="1797685" cy="96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147955</xdr:colOff>
      <xdr:row>16</xdr:row>
      <xdr:rowOff>90170</xdr:rowOff>
    </xdr:from>
    <xdr:to>
      <xdr:col>14</xdr:col>
      <xdr:colOff>2008505</xdr:colOff>
      <xdr:row>16</xdr:row>
      <xdr:rowOff>1100455</xdr:rowOff>
    </xdr:to>
    <xdr:pic>
      <xdr:nvPicPr>
        <xdr:cNvPr id="40" name="图片 3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1179155" y="20664170"/>
          <a:ext cx="1860550" cy="1010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tabSelected="1" zoomScale="55" zoomScaleNormal="55" topLeftCell="M1" workbookViewId="0">
      <pane ySplit="1" topLeftCell="A17" activePane="bottomLeft" state="frozen"/>
      <selection/>
      <selection pane="bottomLeft" activeCell="Y15" sqref="Y15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2" t="s">
        <v>16</v>
      </c>
      <c r="R1" s="10" t="s">
        <v>17</v>
      </c>
      <c r="S1" s="10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11" t="s">
        <v>25</v>
      </c>
      <c r="AA1" s="33" t="s">
        <v>26</v>
      </c>
    </row>
    <row r="2" s="2" customFormat="1" ht="105" customHeight="1" spans="1:27">
      <c r="A2" s="12" t="s">
        <v>27</v>
      </c>
      <c r="B2" s="15" t="s">
        <v>28</v>
      </c>
      <c r="C2" s="16" t="s">
        <v>29</v>
      </c>
      <c r="D2" s="17" t="s">
        <v>30</v>
      </c>
      <c r="E2" s="12" t="s">
        <v>31</v>
      </c>
      <c r="F2" s="18"/>
      <c r="G2" s="18"/>
      <c r="H2" s="19" t="s">
        <v>32</v>
      </c>
      <c r="I2" s="18"/>
      <c r="J2" s="27"/>
      <c r="K2" s="28">
        <v>45996</v>
      </c>
      <c r="L2" s="29" t="s">
        <v>33</v>
      </c>
      <c r="M2" s="15" t="s">
        <v>34</v>
      </c>
      <c r="N2" s="27"/>
      <c r="O2" s="27"/>
      <c r="P2" s="15">
        <v>4</v>
      </c>
      <c r="Q2" s="15">
        <v>80</v>
      </c>
      <c r="R2" s="15"/>
      <c r="S2" s="15"/>
      <c r="T2" s="34" t="s">
        <v>35</v>
      </c>
      <c r="U2" s="35">
        <v>1</v>
      </c>
      <c r="V2" s="36">
        <v>20.8</v>
      </c>
      <c r="W2" s="15">
        <f>0.48*4</f>
        <v>1.92</v>
      </c>
      <c r="X2" s="34" t="s">
        <v>36</v>
      </c>
      <c r="Y2" s="15" t="s">
        <v>37</v>
      </c>
      <c r="Z2" s="15" t="s">
        <v>38</v>
      </c>
      <c r="AA2" s="43" t="s">
        <v>39</v>
      </c>
    </row>
    <row r="3" s="2" customFormat="1" ht="105" customHeight="1" spans="1:27">
      <c r="A3" s="12" t="s">
        <v>40</v>
      </c>
      <c r="B3" s="15" t="s">
        <v>41</v>
      </c>
      <c r="C3" s="16" t="s">
        <v>29</v>
      </c>
      <c r="D3" s="17" t="s">
        <v>30</v>
      </c>
      <c r="E3" s="12" t="s">
        <v>42</v>
      </c>
      <c r="F3" s="18"/>
      <c r="G3" s="18"/>
      <c r="H3" s="19" t="s">
        <v>32</v>
      </c>
      <c r="I3" s="18"/>
      <c r="J3" s="27"/>
      <c r="K3" s="28">
        <v>45996</v>
      </c>
      <c r="L3" s="29" t="s">
        <v>33</v>
      </c>
      <c r="M3" s="15" t="s">
        <v>34</v>
      </c>
      <c r="N3" s="27"/>
      <c r="O3" s="27"/>
      <c r="P3" s="15">
        <v>4</v>
      </c>
      <c r="Q3" s="15">
        <v>60</v>
      </c>
      <c r="R3" s="15"/>
      <c r="S3" s="15"/>
      <c r="T3" s="36"/>
      <c r="U3" s="35"/>
      <c r="V3" s="36"/>
      <c r="W3" s="15">
        <f>1.43*4</f>
        <v>5.72</v>
      </c>
      <c r="X3" s="36"/>
      <c r="Y3" s="15" t="s">
        <v>43</v>
      </c>
      <c r="Z3" s="15" t="s">
        <v>38</v>
      </c>
      <c r="AA3" s="43" t="s">
        <v>39</v>
      </c>
    </row>
    <row r="4" s="2" customFormat="1" ht="105" customHeight="1" spans="1:27">
      <c r="A4" s="12" t="s">
        <v>44</v>
      </c>
      <c r="B4" s="15" t="s">
        <v>45</v>
      </c>
      <c r="C4" s="16" t="s">
        <v>29</v>
      </c>
      <c r="D4" s="17" t="s">
        <v>30</v>
      </c>
      <c r="E4" s="12" t="s">
        <v>46</v>
      </c>
      <c r="F4" s="18"/>
      <c r="G4" s="18"/>
      <c r="H4" s="19" t="s">
        <v>32</v>
      </c>
      <c r="I4" s="18"/>
      <c r="J4" s="27"/>
      <c r="K4" s="28">
        <v>45996</v>
      </c>
      <c r="L4" s="29" t="s">
        <v>33</v>
      </c>
      <c r="M4" s="15" t="s">
        <v>34</v>
      </c>
      <c r="N4" s="27"/>
      <c r="O4" s="27"/>
      <c r="P4" s="15">
        <v>1</v>
      </c>
      <c r="Q4" s="15">
        <v>60</v>
      </c>
      <c r="R4" s="15"/>
      <c r="S4" s="15"/>
      <c r="T4" s="36"/>
      <c r="U4" s="35"/>
      <c r="V4" s="36"/>
      <c r="W4" s="15">
        <v>0.42</v>
      </c>
      <c r="X4" s="36"/>
      <c r="Y4" s="15" t="s">
        <v>47</v>
      </c>
      <c r="Z4" s="15" t="s">
        <v>38</v>
      </c>
      <c r="AA4" s="43" t="s">
        <v>39</v>
      </c>
    </row>
    <row r="5" s="2" customFormat="1" ht="105" customHeight="1" spans="1:27">
      <c r="A5" s="12" t="s">
        <v>48</v>
      </c>
      <c r="B5" s="15" t="s">
        <v>49</v>
      </c>
      <c r="C5" s="16" t="s">
        <v>29</v>
      </c>
      <c r="D5" s="17" t="s">
        <v>30</v>
      </c>
      <c r="E5" s="12" t="s">
        <v>50</v>
      </c>
      <c r="F5" s="18"/>
      <c r="G5" s="18"/>
      <c r="H5" s="19" t="s">
        <v>51</v>
      </c>
      <c r="I5" s="18"/>
      <c r="J5" s="27"/>
      <c r="K5" s="28">
        <v>45996</v>
      </c>
      <c r="L5" s="29" t="s">
        <v>33</v>
      </c>
      <c r="M5" s="15" t="s">
        <v>34</v>
      </c>
      <c r="N5" s="27"/>
      <c r="O5" s="27"/>
      <c r="P5" s="15">
        <v>1</v>
      </c>
      <c r="Q5" s="15">
        <v>500</v>
      </c>
      <c r="R5" s="15"/>
      <c r="S5" s="15"/>
      <c r="T5" s="36"/>
      <c r="U5" s="35"/>
      <c r="V5" s="36"/>
      <c r="W5" s="15">
        <v>6.86</v>
      </c>
      <c r="X5" s="36"/>
      <c r="Y5" s="15" t="s">
        <v>52</v>
      </c>
      <c r="Z5" s="15" t="s">
        <v>38</v>
      </c>
      <c r="AA5" s="43" t="s">
        <v>39</v>
      </c>
    </row>
    <row r="6" s="2" customFormat="1" ht="120" customHeight="1" spans="1:27">
      <c r="A6" s="12" t="s">
        <v>53</v>
      </c>
      <c r="B6" s="12" t="s">
        <v>54</v>
      </c>
      <c r="C6" s="16" t="s">
        <v>29</v>
      </c>
      <c r="D6" s="17" t="s">
        <v>30</v>
      </c>
      <c r="E6" s="12" t="s">
        <v>55</v>
      </c>
      <c r="F6" s="18"/>
      <c r="G6" s="18"/>
      <c r="H6" s="19" t="s">
        <v>32</v>
      </c>
      <c r="I6" s="18"/>
      <c r="J6" s="27"/>
      <c r="K6" s="28">
        <v>45996</v>
      </c>
      <c r="L6" s="29" t="s">
        <v>33</v>
      </c>
      <c r="M6" s="15" t="s">
        <v>34</v>
      </c>
      <c r="N6" s="27"/>
      <c r="O6" s="27"/>
      <c r="P6" s="15">
        <v>1</v>
      </c>
      <c r="Q6" s="15">
        <v>50</v>
      </c>
      <c r="R6" s="15"/>
      <c r="S6" s="15"/>
      <c r="T6" s="36"/>
      <c r="U6" s="35"/>
      <c r="V6" s="36"/>
      <c r="W6" s="15">
        <v>1.04</v>
      </c>
      <c r="X6" s="36"/>
      <c r="Y6" s="15" t="s">
        <v>56</v>
      </c>
      <c r="Z6" s="15" t="s">
        <v>38</v>
      </c>
      <c r="AA6" s="43" t="s">
        <v>39</v>
      </c>
    </row>
    <row r="7" s="2" customFormat="1" ht="105" customHeight="1" spans="1:27">
      <c r="A7" s="12" t="s">
        <v>57</v>
      </c>
      <c r="B7" s="15" t="s">
        <v>58</v>
      </c>
      <c r="C7" s="16" t="s">
        <v>29</v>
      </c>
      <c r="D7" s="17" t="s">
        <v>59</v>
      </c>
      <c r="E7" s="12" t="s">
        <v>60</v>
      </c>
      <c r="F7" s="18"/>
      <c r="G7" s="18"/>
      <c r="H7" s="19" t="s">
        <v>32</v>
      </c>
      <c r="I7" s="18"/>
      <c r="J7" s="27"/>
      <c r="K7" s="28">
        <v>45996</v>
      </c>
      <c r="L7" s="29" t="s">
        <v>33</v>
      </c>
      <c r="M7" s="15" t="s">
        <v>34</v>
      </c>
      <c r="N7" s="27"/>
      <c r="O7" s="27"/>
      <c r="P7" s="15">
        <v>1</v>
      </c>
      <c r="Q7" s="15">
        <v>80</v>
      </c>
      <c r="R7" s="15"/>
      <c r="S7" s="15"/>
      <c r="T7" s="36"/>
      <c r="U7" s="35"/>
      <c r="V7" s="36"/>
      <c r="W7" s="15">
        <v>0.7</v>
      </c>
      <c r="X7" s="36"/>
      <c r="Y7" s="15" t="s">
        <v>61</v>
      </c>
      <c r="Z7" s="15" t="s">
        <v>38</v>
      </c>
      <c r="AA7" s="43" t="s">
        <v>39</v>
      </c>
    </row>
    <row r="8" s="2" customFormat="1" ht="105" customHeight="1" spans="1:27">
      <c r="A8" s="12" t="s">
        <v>62</v>
      </c>
      <c r="B8" s="15" t="s">
        <v>63</v>
      </c>
      <c r="C8" s="16" t="s">
        <v>29</v>
      </c>
      <c r="D8" s="17" t="s">
        <v>59</v>
      </c>
      <c r="E8" s="12" t="s">
        <v>64</v>
      </c>
      <c r="F8" s="18"/>
      <c r="G8" s="18"/>
      <c r="H8" s="19" t="s">
        <v>32</v>
      </c>
      <c r="I8" s="18"/>
      <c r="J8" s="27"/>
      <c r="K8" s="28">
        <v>45996</v>
      </c>
      <c r="L8" s="29" t="s">
        <v>33</v>
      </c>
      <c r="M8" s="15" t="s">
        <v>34</v>
      </c>
      <c r="N8" s="27"/>
      <c r="O8" s="27"/>
      <c r="P8" s="15">
        <v>2</v>
      </c>
      <c r="Q8" s="15">
        <v>50</v>
      </c>
      <c r="R8" s="15"/>
      <c r="S8" s="15"/>
      <c r="T8" s="36"/>
      <c r="U8" s="35"/>
      <c r="V8" s="36"/>
      <c r="W8" s="15">
        <f>0.5*2</f>
        <v>1</v>
      </c>
      <c r="X8" s="36"/>
      <c r="Y8" s="15" t="s">
        <v>65</v>
      </c>
      <c r="Z8" s="15" t="s">
        <v>66</v>
      </c>
      <c r="AA8" s="43" t="s">
        <v>39</v>
      </c>
    </row>
    <row r="9" s="2" customFormat="1" ht="105" customHeight="1" spans="1:27">
      <c r="A9" s="12" t="s">
        <v>67</v>
      </c>
      <c r="B9" s="12" t="s">
        <v>68</v>
      </c>
      <c r="C9" s="16" t="s">
        <v>29</v>
      </c>
      <c r="D9" s="17" t="s">
        <v>59</v>
      </c>
      <c r="E9" s="12" t="s">
        <v>69</v>
      </c>
      <c r="F9" s="18"/>
      <c r="G9" s="18"/>
      <c r="H9" s="19" t="s">
        <v>70</v>
      </c>
      <c r="I9" s="18"/>
      <c r="J9" s="27"/>
      <c r="K9" s="28">
        <v>45996</v>
      </c>
      <c r="L9" s="29" t="s">
        <v>33</v>
      </c>
      <c r="M9" s="15" t="s">
        <v>34</v>
      </c>
      <c r="N9" s="27"/>
      <c r="O9" s="27"/>
      <c r="P9" s="15">
        <v>1</v>
      </c>
      <c r="Q9" s="15">
        <v>50</v>
      </c>
      <c r="R9" s="15"/>
      <c r="S9" s="15"/>
      <c r="T9" s="36"/>
      <c r="U9" s="35"/>
      <c r="V9" s="36"/>
      <c r="W9" s="15">
        <v>0.1</v>
      </c>
      <c r="X9" s="36"/>
      <c r="Y9" s="15" t="s">
        <v>71</v>
      </c>
      <c r="Z9" s="15" t="s">
        <v>66</v>
      </c>
      <c r="AA9" s="43" t="s">
        <v>39</v>
      </c>
    </row>
    <row r="10" s="2" customFormat="1" ht="105" customHeight="1" spans="1:27">
      <c r="A10" s="12" t="s">
        <v>72</v>
      </c>
      <c r="B10" s="15" t="s">
        <v>73</v>
      </c>
      <c r="C10" s="16" t="s">
        <v>29</v>
      </c>
      <c r="D10" s="17" t="s">
        <v>59</v>
      </c>
      <c r="E10" s="12" t="s">
        <v>74</v>
      </c>
      <c r="F10" s="18"/>
      <c r="G10" s="18"/>
      <c r="H10" s="19" t="s">
        <v>32</v>
      </c>
      <c r="I10" s="18"/>
      <c r="J10" s="27"/>
      <c r="K10" s="28">
        <v>45996</v>
      </c>
      <c r="L10" s="29" t="s">
        <v>33</v>
      </c>
      <c r="M10" s="15" t="s">
        <v>34</v>
      </c>
      <c r="N10" s="27"/>
      <c r="O10" s="27"/>
      <c r="P10" s="15">
        <v>1</v>
      </c>
      <c r="Q10" s="15">
        <v>300</v>
      </c>
      <c r="R10" s="15"/>
      <c r="S10" s="15"/>
      <c r="T10" s="36"/>
      <c r="U10" s="35"/>
      <c r="V10" s="36"/>
      <c r="W10" s="15">
        <v>2.54</v>
      </c>
      <c r="X10" s="36"/>
      <c r="Y10" s="15" t="s">
        <v>75</v>
      </c>
      <c r="Z10" s="15" t="s">
        <v>38</v>
      </c>
      <c r="AA10" s="43" t="s">
        <v>39</v>
      </c>
    </row>
    <row r="11" s="2" customFormat="1" ht="105" customHeight="1" spans="1:27">
      <c r="A11" s="12" t="s">
        <v>76</v>
      </c>
      <c r="B11" s="15" t="s">
        <v>77</v>
      </c>
      <c r="C11" s="16" t="s">
        <v>29</v>
      </c>
      <c r="D11" s="17" t="s">
        <v>59</v>
      </c>
      <c r="E11" s="12" t="s">
        <v>4</v>
      </c>
      <c r="F11" s="18"/>
      <c r="G11" s="18"/>
      <c r="H11" s="19" t="s">
        <v>78</v>
      </c>
      <c r="I11" s="18"/>
      <c r="J11" s="27"/>
      <c r="K11" s="28">
        <v>45996</v>
      </c>
      <c r="L11" s="29" t="s">
        <v>33</v>
      </c>
      <c r="M11" s="15" t="s">
        <v>34</v>
      </c>
      <c r="N11" s="27"/>
      <c r="O11" s="27"/>
      <c r="P11" s="15">
        <v>1</v>
      </c>
      <c r="Q11" s="15">
        <v>50</v>
      </c>
      <c r="R11" s="15"/>
      <c r="S11" s="15"/>
      <c r="T11" s="37" t="s">
        <v>79</v>
      </c>
      <c r="U11" s="38">
        <v>1</v>
      </c>
      <c r="V11" s="37">
        <v>18.5</v>
      </c>
      <c r="W11" s="15">
        <v>0.4</v>
      </c>
      <c r="X11" s="37" t="s">
        <v>80</v>
      </c>
      <c r="Y11" s="15" t="s">
        <v>81</v>
      </c>
      <c r="Z11" s="15" t="s">
        <v>38</v>
      </c>
      <c r="AA11" s="43" t="s">
        <v>39</v>
      </c>
    </row>
    <row r="12" s="2" customFormat="1" ht="105" customHeight="1" spans="1:27">
      <c r="A12" s="12" t="s">
        <v>82</v>
      </c>
      <c r="B12" s="15" t="s">
        <v>83</v>
      </c>
      <c r="C12" s="16" t="s">
        <v>29</v>
      </c>
      <c r="D12" s="17" t="s">
        <v>59</v>
      </c>
      <c r="E12" s="12" t="s">
        <v>84</v>
      </c>
      <c r="F12" s="18"/>
      <c r="G12" s="18"/>
      <c r="H12" s="19" t="s">
        <v>85</v>
      </c>
      <c r="I12" s="18"/>
      <c r="J12" s="27"/>
      <c r="K12" s="28">
        <v>45996</v>
      </c>
      <c r="L12" s="29" t="s">
        <v>33</v>
      </c>
      <c r="M12" s="15" t="s">
        <v>34</v>
      </c>
      <c r="N12" s="27"/>
      <c r="O12" s="27"/>
      <c r="P12" s="15">
        <v>1</v>
      </c>
      <c r="Q12" s="15">
        <v>80</v>
      </c>
      <c r="R12" s="15"/>
      <c r="S12" s="15"/>
      <c r="T12" s="37"/>
      <c r="U12" s="38"/>
      <c r="V12" s="37"/>
      <c r="W12" s="15">
        <v>0.65</v>
      </c>
      <c r="X12" s="37"/>
      <c r="Y12" s="15" t="s">
        <v>86</v>
      </c>
      <c r="Z12" s="15" t="s">
        <v>38</v>
      </c>
      <c r="AA12" s="43" t="s">
        <v>39</v>
      </c>
    </row>
    <row r="13" s="2" customFormat="1" ht="105" customHeight="1" spans="1:27">
      <c r="A13" s="12" t="s">
        <v>87</v>
      </c>
      <c r="B13" s="15" t="s">
        <v>88</v>
      </c>
      <c r="C13" s="16" t="s">
        <v>29</v>
      </c>
      <c r="D13" s="17" t="s">
        <v>59</v>
      </c>
      <c r="E13" s="12" t="s">
        <v>89</v>
      </c>
      <c r="F13" s="18"/>
      <c r="G13" s="18"/>
      <c r="H13" s="19" t="s">
        <v>78</v>
      </c>
      <c r="I13" s="18"/>
      <c r="J13" s="27"/>
      <c r="K13" s="28">
        <v>45996</v>
      </c>
      <c r="L13" s="29" t="s">
        <v>33</v>
      </c>
      <c r="M13" s="15" t="s">
        <v>34</v>
      </c>
      <c r="N13" s="27"/>
      <c r="O13" s="27"/>
      <c r="P13" s="15">
        <v>1</v>
      </c>
      <c r="Q13" s="15">
        <v>80</v>
      </c>
      <c r="R13" s="15"/>
      <c r="S13" s="15"/>
      <c r="T13" s="37"/>
      <c r="U13" s="38"/>
      <c r="V13" s="37"/>
      <c r="W13" s="15">
        <v>0.3</v>
      </c>
      <c r="X13" s="37"/>
      <c r="Y13" s="15" t="s">
        <v>86</v>
      </c>
      <c r="Z13" s="15" t="s">
        <v>38</v>
      </c>
      <c r="AA13" s="43" t="s">
        <v>39</v>
      </c>
    </row>
    <row r="14" s="2" customFormat="1" ht="105" customHeight="1" spans="1:27">
      <c r="A14" s="12" t="s">
        <v>90</v>
      </c>
      <c r="B14" s="15" t="s">
        <v>91</v>
      </c>
      <c r="C14" s="16" t="s">
        <v>29</v>
      </c>
      <c r="D14" s="17" t="s">
        <v>59</v>
      </c>
      <c r="E14" s="12" t="s">
        <v>92</v>
      </c>
      <c r="F14" s="18"/>
      <c r="G14" s="18"/>
      <c r="H14" s="19" t="s">
        <v>78</v>
      </c>
      <c r="I14" s="18"/>
      <c r="J14" s="27"/>
      <c r="K14" s="28">
        <v>45996</v>
      </c>
      <c r="L14" s="29" t="s">
        <v>33</v>
      </c>
      <c r="M14" s="15" t="s">
        <v>34</v>
      </c>
      <c r="N14" s="27"/>
      <c r="O14" s="27"/>
      <c r="P14" s="15">
        <v>1</v>
      </c>
      <c r="Q14" s="15">
        <v>80</v>
      </c>
      <c r="R14" s="15"/>
      <c r="S14" s="15"/>
      <c r="T14" s="37"/>
      <c r="U14" s="38"/>
      <c r="V14" s="37"/>
      <c r="W14" s="15">
        <v>0.31</v>
      </c>
      <c r="X14" s="37"/>
      <c r="Y14" s="15" t="s">
        <v>86</v>
      </c>
      <c r="Z14" s="15" t="s">
        <v>38</v>
      </c>
      <c r="AA14" s="43" t="s">
        <v>39</v>
      </c>
    </row>
    <row r="15" s="2" customFormat="1" ht="105" customHeight="1" spans="1:27">
      <c r="A15" s="12" t="s">
        <v>93</v>
      </c>
      <c r="B15" s="15" t="s">
        <v>94</v>
      </c>
      <c r="C15" s="16" t="s">
        <v>29</v>
      </c>
      <c r="D15" s="17" t="s">
        <v>59</v>
      </c>
      <c r="E15" s="12" t="s">
        <v>95</v>
      </c>
      <c r="F15" s="18"/>
      <c r="G15" s="18"/>
      <c r="H15" s="19" t="s">
        <v>96</v>
      </c>
      <c r="I15" s="18"/>
      <c r="J15" s="27"/>
      <c r="K15" s="28">
        <v>45996</v>
      </c>
      <c r="L15" s="29" t="s">
        <v>33</v>
      </c>
      <c r="M15" s="15" t="s">
        <v>34</v>
      </c>
      <c r="N15" s="27"/>
      <c r="O15" s="27"/>
      <c r="P15" s="15">
        <v>1</v>
      </c>
      <c r="Q15" s="15">
        <v>50</v>
      </c>
      <c r="R15" s="15"/>
      <c r="S15" s="15"/>
      <c r="T15" s="37"/>
      <c r="U15" s="38"/>
      <c r="V15" s="37"/>
      <c r="W15" s="15">
        <v>0.35</v>
      </c>
      <c r="X15" s="37"/>
      <c r="Y15" s="15" t="s">
        <v>97</v>
      </c>
      <c r="Z15" s="15" t="s">
        <v>38</v>
      </c>
      <c r="AA15" s="43" t="s">
        <v>39</v>
      </c>
    </row>
    <row r="16" s="2" customFormat="1" ht="105" customHeight="1" spans="1:27">
      <c r="A16" s="12" t="s">
        <v>98</v>
      </c>
      <c r="B16" s="15" t="s">
        <v>99</v>
      </c>
      <c r="C16" s="16" t="s">
        <v>29</v>
      </c>
      <c r="D16" s="17" t="s">
        <v>59</v>
      </c>
      <c r="E16" s="12" t="s">
        <v>100</v>
      </c>
      <c r="F16" s="18"/>
      <c r="G16" s="18"/>
      <c r="H16" s="19" t="s">
        <v>101</v>
      </c>
      <c r="I16" s="18"/>
      <c r="J16" s="27"/>
      <c r="K16" s="28">
        <v>45996</v>
      </c>
      <c r="L16" s="29" t="s">
        <v>33</v>
      </c>
      <c r="M16" s="15" t="s">
        <v>34</v>
      </c>
      <c r="N16" s="27"/>
      <c r="O16" s="30"/>
      <c r="P16" s="15">
        <v>2</v>
      </c>
      <c r="Q16" s="15">
        <v>100</v>
      </c>
      <c r="R16" s="15"/>
      <c r="S16" s="15"/>
      <c r="T16" s="37"/>
      <c r="U16" s="38"/>
      <c r="V16" s="37"/>
      <c r="W16" s="15">
        <f>2.24*2</f>
        <v>4.48</v>
      </c>
      <c r="X16" s="37"/>
      <c r="Y16" s="15" t="s">
        <v>102</v>
      </c>
      <c r="Z16" s="15" t="s">
        <v>38</v>
      </c>
      <c r="AA16" s="43" t="s">
        <v>39</v>
      </c>
    </row>
    <row r="17" s="2" customFormat="1" ht="105" customHeight="1" spans="1:27">
      <c r="A17" s="12" t="s">
        <v>103</v>
      </c>
      <c r="B17" s="20" t="s">
        <v>104</v>
      </c>
      <c r="C17" s="16" t="s">
        <v>29</v>
      </c>
      <c r="D17" s="17" t="s">
        <v>59</v>
      </c>
      <c r="E17" s="12" t="s">
        <v>105</v>
      </c>
      <c r="F17" s="18"/>
      <c r="G17" s="18"/>
      <c r="H17" s="19" t="s">
        <v>32</v>
      </c>
      <c r="I17" s="18"/>
      <c r="J17" s="27"/>
      <c r="K17" s="28">
        <v>45996</v>
      </c>
      <c r="L17" s="29" t="s">
        <v>33</v>
      </c>
      <c r="M17" s="15" t="s">
        <v>34</v>
      </c>
      <c r="N17" s="27"/>
      <c r="O17" s="30"/>
      <c r="P17" s="15">
        <v>1</v>
      </c>
      <c r="Q17" s="15">
        <v>50</v>
      </c>
      <c r="R17" s="15"/>
      <c r="S17" s="15"/>
      <c r="T17" s="37"/>
      <c r="U17" s="38"/>
      <c r="V17" s="37"/>
      <c r="W17" s="15">
        <v>0.43</v>
      </c>
      <c r="X17" s="37"/>
      <c r="Y17" s="15" t="s">
        <v>106</v>
      </c>
      <c r="Z17" s="15" t="s">
        <v>38</v>
      </c>
      <c r="AA17" s="43" t="s">
        <v>39</v>
      </c>
    </row>
    <row r="18" s="2" customFormat="1" ht="105" customHeight="1" spans="1:27">
      <c r="A18" s="12" t="s">
        <v>107</v>
      </c>
      <c r="B18" s="15" t="s">
        <v>108</v>
      </c>
      <c r="C18" s="16" t="s">
        <v>29</v>
      </c>
      <c r="D18" s="17" t="s">
        <v>59</v>
      </c>
      <c r="E18" s="12" t="s">
        <v>109</v>
      </c>
      <c r="F18" s="18"/>
      <c r="G18" s="18"/>
      <c r="H18" s="19" t="s">
        <v>32</v>
      </c>
      <c r="I18" s="18"/>
      <c r="J18" s="27"/>
      <c r="K18" s="28">
        <v>45996</v>
      </c>
      <c r="L18" s="29" t="s">
        <v>33</v>
      </c>
      <c r="M18" s="15" t="s">
        <v>34</v>
      </c>
      <c r="N18" s="27"/>
      <c r="O18" s="27"/>
      <c r="P18" s="15">
        <v>2</v>
      </c>
      <c r="Q18" s="15">
        <v>50</v>
      </c>
      <c r="R18" s="15"/>
      <c r="S18" s="15"/>
      <c r="T18" s="37"/>
      <c r="U18" s="38"/>
      <c r="V18" s="37"/>
      <c r="W18" s="15">
        <f>0.62*2</f>
        <v>1.24</v>
      </c>
      <c r="X18" s="37"/>
      <c r="Y18" s="15" t="s">
        <v>106</v>
      </c>
      <c r="Z18" s="15" t="s">
        <v>38</v>
      </c>
      <c r="AA18" s="43" t="s">
        <v>39</v>
      </c>
    </row>
    <row r="19" s="2" customFormat="1" ht="105" customHeight="1" spans="1:27">
      <c r="A19" s="12" t="s">
        <v>110</v>
      </c>
      <c r="B19" s="12" t="s">
        <v>111</v>
      </c>
      <c r="C19" s="16" t="s">
        <v>29</v>
      </c>
      <c r="D19" s="17" t="s">
        <v>59</v>
      </c>
      <c r="E19" s="12" t="s">
        <v>112</v>
      </c>
      <c r="F19" s="18"/>
      <c r="G19" s="18"/>
      <c r="H19" s="19" t="s">
        <v>32</v>
      </c>
      <c r="I19" s="18"/>
      <c r="J19" s="27"/>
      <c r="K19" s="28">
        <v>45996</v>
      </c>
      <c r="L19" s="29" t="s">
        <v>33</v>
      </c>
      <c r="M19" s="15" t="s">
        <v>34</v>
      </c>
      <c r="N19" s="27"/>
      <c r="O19" s="27"/>
      <c r="P19" s="15">
        <v>2</v>
      </c>
      <c r="Q19" s="15">
        <v>50</v>
      </c>
      <c r="R19" s="15"/>
      <c r="S19" s="15"/>
      <c r="T19" s="37"/>
      <c r="U19" s="38"/>
      <c r="V19" s="37"/>
      <c r="W19" s="15">
        <f>0.62*2</f>
        <v>1.24</v>
      </c>
      <c r="X19" s="37"/>
      <c r="Y19" s="15" t="s">
        <v>106</v>
      </c>
      <c r="Z19" s="15" t="s">
        <v>38</v>
      </c>
      <c r="AA19" s="43" t="s">
        <v>39</v>
      </c>
    </row>
    <row r="20" s="2" customFormat="1" ht="105" customHeight="1" spans="1:27">
      <c r="A20" s="12" t="s">
        <v>113</v>
      </c>
      <c r="B20" s="15" t="s">
        <v>114</v>
      </c>
      <c r="C20" s="16" t="s">
        <v>29</v>
      </c>
      <c r="D20" s="17" t="s">
        <v>59</v>
      </c>
      <c r="E20" s="12" t="s">
        <v>115</v>
      </c>
      <c r="F20" s="18"/>
      <c r="G20" s="18"/>
      <c r="H20" s="19" t="s">
        <v>32</v>
      </c>
      <c r="I20" s="18"/>
      <c r="J20" s="27"/>
      <c r="K20" s="28">
        <v>45996</v>
      </c>
      <c r="L20" s="29" t="s">
        <v>33</v>
      </c>
      <c r="M20" s="15" t="s">
        <v>34</v>
      </c>
      <c r="N20" s="27"/>
      <c r="O20" s="27"/>
      <c r="P20" s="15">
        <v>1</v>
      </c>
      <c r="Q20" s="15">
        <v>50</v>
      </c>
      <c r="R20" s="15"/>
      <c r="S20" s="15"/>
      <c r="T20" s="37"/>
      <c r="U20" s="38"/>
      <c r="V20" s="37"/>
      <c r="W20" s="15">
        <v>0.3</v>
      </c>
      <c r="X20" s="37"/>
      <c r="Y20" s="15" t="s">
        <v>116</v>
      </c>
      <c r="Z20" s="15" t="s">
        <v>66</v>
      </c>
      <c r="AA20" s="43" t="s">
        <v>39</v>
      </c>
    </row>
    <row r="21" s="2" customFormat="1" ht="105" customHeight="1" spans="1:27">
      <c r="A21" s="12" t="s">
        <v>117</v>
      </c>
      <c r="B21" s="15" t="s">
        <v>118</v>
      </c>
      <c r="C21" s="16" t="s">
        <v>29</v>
      </c>
      <c r="D21" s="17" t="s">
        <v>59</v>
      </c>
      <c r="E21" s="12" t="s">
        <v>119</v>
      </c>
      <c r="F21" s="18"/>
      <c r="G21" s="18"/>
      <c r="H21" s="19" t="s">
        <v>32</v>
      </c>
      <c r="I21" s="18"/>
      <c r="J21" s="27"/>
      <c r="K21" s="28">
        <v>45996</v>
      </c>
      <c r="L21" s="29" t="s">
        <v>33</v>
      </c>
      <c r="M21" s="15" t="s">
        <v>34</v>
      </c>
      <c r="N21" s="27"/>
      <c r="O21" s="27"/>
      <c r="P21" s="15">
        <v>3</v>
      </c>
      <c r="Q21" s="15">
        <v>50</v>
      </c>
      <c r="R21" s="15"/>
      <c r="S21" s="15"/>
      <c r="T21" s="37"/>
      <c r="U21" s="38"/>
      <c r="V21" s="37"/>
      <c r="W21" s="15">
        <f>0.43*3</f>
        <v>1.29</v>
      </c>
      <c r="X21" s="37"/>
      <c r="Y21" s="15" t="s">
        <v>106</v>
      </c>
      <c r="Z21" s="15" t="s">
        <v>38</v>
      </c>
      <c r="AA21" s="43" t="s">
        <v>39</v>
      </c>
    </row>
    <row r="22" s="2" customFormat="1" ht="105" customHeight="1" spans="1:27">
      <c r="A22" s="12" t="s">
        <v>120</v>
      </c>
      <c r="B22" s="12" t="s">
        <v>121</v>
      </c>
      <c r="C22" s="16" t="s">
        <v>29</v>
      </c>
      <c r="D22" s="17" t="s">
        <v>59</v>
      </c>
      <c r="E22" s="12" t="s">
        <v>122</v>
      </c>
      <c r="F22" s="18"/>
      <c r="G22" s="18"/>
      <c r="H22" s="19" t="s">
        <v>32</v>
      </c>
      <c r="I22" s="18"/>
      <c r="J22" s="27"/>
      <c r="K22" s="28">
        <v>45996</v>
      </c>
      <c r="L22" s="29" t="s">
        <v>33</v>
      </c>
      <c r="M22" s="15" t="s">
        <v>34</v>
      </c>
      <c r="N22" s="27"/>
      <c r="O22" s="27"/>
      <c r="P22" s="15">
        <v>2</v>
      </c>
      <c r="Q22" s="15">
        <v>60</v>
      </c>
      <c r="R22" s="15"/>
      <c r="S22" s="15"/>
      <c r="T22" s="37"/>
      <c r="U22" s="38"/>
      <c r="V22" s="37"/>
      <c r="W22" s="15">
        <f>1.28*2</f>
        <v>2.56</v>
      </c>
      <c r="X22" s="37"/>
      <c r="Y22" s="15" t="s">
        <v>123</v>
      </c>
      <c r="Z22" s="15" t="s">
        <v>38</v>
      </c>
      <c r="AA22" s="43" t="s">
        <v>39</v>
      </c>
    </row>
    <row r="23" s="2" customFormat="1" ht="105" customHeight="1" spans="1:27">
      <c r="A23" s="12" t="s">
        <v>124</v>
      </c>
      <c r="B23" s="12" t="s">
        <v>125</v>
      </c>
      <c r="C23" s="16" t="s">
        <v>29</v>
      </c>
      <c r="D23" s="17" t="s">
        <v>59</v>
      </c>
      <c r="E23" s="12" t="s">
        <v>126</v>
      </c>
      <c r="F23" s="18"/>
      <c r="G23" s="18"/>
      <c r="H23" s="19" t="s">
        <v>32</v>
      </c>
      <c r="I23" s="18"/>
      <c r="J23" s="27"/>
      <c r="K23" s="28">
        <v>45996</v>
      </c>
      <c r="L23" s="29" t="s">
        <v>33</v>
      </c>
      <c r="M23" s="15" t="s">
        <v>34</v>
      </c>
      <c r="N23" s="27"/>
      <c r="O23" s="27"/>
      <c r="P23" s="15">
        <v>1</v>
      </c>
      <c r="Q23" s="15">
        <v>50</v>
      </c>
      <c r="R23" s="15"/>
      <c r="S23" s="15"/>
      <c r="T23" s="37"/>
      <c r="U23" s="38"/>
      <c r="V23" s="37"/>
      <c r="W23" s="15">
        <v>0.43</v>
      </c>
      <c r="X23" s="37"/>
      <c r="Y23" s="15" t="s">
        <v>127</v>
      </c>
      <c r="Z23" s="15" t="s">
        <v>38</v>
      </c>
      <c r="AA23" s="43" t="s">
        <v>39</v>
      </c>
    </row>
    <row r="24" s="2" customFormat="1" ht="105" customHeight="1" spans="1:27">
      <c r="A24" s="12" t="s">
        <v>128</v>
      </c>
      <c r="B24" s="15" t="s">
        <v>129</v>
      </c>
      <c r="C24" s="16" t="s">
        <v>29</v>
      </c>
      <c r="D24" s="17" t="s">
        <v>59</v>
      </c>
      <c r="E24" s="12" t="s">
        <v>130</v>
      </c>
      <c r="F24" s="18"/>
      <c r="G24" s="18"/>
      <c r="H24" s="19" t="s">
        <v>32</v>
      </c>
      <c r="I24" s="18"/>
      <c r="J24" s="27"/>
      <c r="K24" s="28">
        <v>45996</v>
      </c>
      <c r="L24" s="29" t="s">
        <v>33</v>
      </c>
      <c r="M24" s="15" t="s">
        <v>34</v>
      </c>
      <c r="N24" s="27"/>
      <c r="O24" s="27"/>
      <c r="P24" s="15">
        <v>1</v>
      </c>
      <c r="Q24" s="15">
        <v>60</v>
      </c>
      <c r="R24" s="15"/>
      <c r="S24" s="15"/>
      <c r="T24" s="37"/>
      <c r="U24" s="38"/>
      <c r="V24" s="37"/>
      <c r="W24" s="15">
        <v>3.68</v>
      </c>
      <c r="X24" s="37"/>
      <c r="Y24" s="15" t="s">
        <v>131</v>
      </c>
      <c r="Z24" s="15" t="s">
        <v>38</v>
      </c>
      <c r="AA24" s="43" t="s">
        <v>39</v>
      </c>
    </row>
    <row r="25" s="2" customFormat="1" ht="105" customHeight="1" spans="1:27">
      <c r="A25" s="12" t="s">
        <v>132</v>
      </c>
      <c r="B25" s="15" t="s">
        <v>133</v>
      </c>
      <c r="C25" s="16" t="s">
        <v>29</v>
      </c>
      <c r="D25" s="17" t="s">
        <v>134</v>
      </c>
      <c r="E25" s="12" t="s">
        <v>135</v>
      </c>
      <c r="F25" s="18"/>
      <c r="G25" s="18"/>
      <c r="H25" s="19" t="s">
        <v>136</v>
      </c>
      <c r="I25" s="18"/>
      <c r="J25" s="27"/>
      <c r="K25" s="31">
        <v>45964</v>
      </c>
      <c r="L25" s="29" t="s">
        <v>33</v>
      </c>
      <c r="M25" s="15" t="s">
        <v>34</v>
      </c>
      <c r="N25" s="27"/>
      <c r="O25" s="27"/>
      <c r="P25" s="15">
        <v>3</v>
      </c>
      <c r="Q25" s="15">
        <v>800</v>
      </c>
      <c r="R25" s="15"/>
      <c r="S25" s="15"/>
      <c r="T25" s="20" t="s">
        <v>137</v>
      </c>
      <c r="U25" s="39">
        <v>1</v>
      </c>
      <c r="V25" s="39">
        <v>21.61</v>
      </c>
      <c r="W25" s="15">
        <f>6.87*3</f>
        <v>20.61</v>
      </c>
      <c r="X25" s="15" t="s">
        <v>138</v>
      </c>
      <c r="Y25" s="15" t="s">
        <v>139</v>
      </c>
      <c r="Z25" s="15" t="s">
        <v>38</v>
      </c>
      <c r="AA25" s="43" t="s">
        <v>39</v>
      </c>
    </row>
    <row r="26" s="3" customFormat="1" ht="90" customHeight="1" spans="1:27">
      <c r="A26" s="21" t="s">
        <v>140</v>
      </c>
      <c r="B26" s="22" t="s">
        <v>141</v>
      </c>
      <c r="C26" s="23" t="s">
        <v>142</v>
      </c>
      <c r="D26" s="17" t="s">
        <v>59</v>
      </c>
      <c r="E26" s="24" t="s">
        <v>143</v>
      </c>
      <c r="F26" s="23"/>
      <c r="G26" s="25"/>
      <c r="H26" s="26" t="s">
        <v>144</v>
      </c>
      <c r="I26" s="24"/>
      <c r="J26" s="24"/>
      <c r="K26" s="24" t="s">
        <v>145</v>
      </c>
      <c r="L26" s="25" t="s">
        <v>146</v>
      </c>
      <c r="M26" s="25" t="s">
        <v>34</v>
      </c>
      <c r="N26" s="25"/>
      <c r="O26" s="25"/>
      <c r="P26" s="25">
        <v>1</v>
      </c>
      <c r="Q26" s="40">
        <v>145</v>
      </c>
      <c r="R26" s="25"/>
      <c r="S26" s="41"/>
      <c r="T26" s="42" t="s">
        <v>147</v>
      </c>
      <c r="U26" s="25">
        <v>1</v>
      </c>
      <c r="V26" s="25">
        <v>1.1</v>
      </c>
      <c r="W26" s="25">
        <v>0.6</v>
      </c>
      <c r="X26" s="25" t="s">
        <v>148</v>
      </c>
      <c r="Y26" s="24" t="s">
        <v>149</v>
      </c>
      <c r="Z26" s="23" t="s">
        <v>150</v>
      </c>
      <c r="AA26" s="25" t="s">
        <v>39</v>
      </c>
    </row>
    <row r="52" ht="13.5"/>
  </sheetData>
  <mergeCells count="8">
    <mergeCell ref="T2:T10"/>
    <mergeCell ref="T11:T24"/>
    <mergeCell ref="U2:U10"/>
    <mergeCell ref="U11:U24"/>
    <mergeCell ref="V2:V10"/>
    <mergeCell ref="V11:V24"/>
    <mergeCell ref="X2:X10"/>
    <mergeCell ref="X11:X2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2025-12-09T03:20:17Z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