
<file path=[Content_Types].xml><?xml version="1.0" encoding="utf-8"?>
<Types xmlns="http://schemas.openxmlformats.org/package/2006/content-types">
  <Default Extension="wmf" ContentType="image/x-wmf"/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990"/>
  </bookViews>
  <sheets>
    <sheet name="M20260802" sheetId="11" r:id="rId1"/>
  </sheets>
  <definedNames>
    <definedName name="_xlnm._FilterDatabase" localSheetId="0" hidden="1">M20260802!$A$1:$AF$77</definedName>
  </definedNames>
  <calcPr calcId="144525" concurrentCalc="0"/>
</workbook>
</file>

<file path=xl/comments1.xml><?xml version="1.0" encoding="utf-8"?>
<comments xmlns="http://schemas.openxmlformats.org/spreadsheetml/2006/main">
  <authors>
    <author>MSD03</author>
  </authors>
  <commentList>
    <comment ref="V2" authorId="0">
      <text>
        <r>
          <rPr>
            <b/>
            <sz val="9"/>
            <rFont val="宋体"/>
            <charset val="134"/>
          </rPr>
          <t>MSD03:</t>
        </r>
        <r>
          <rPr>
            <sz val="9"/>
            <rFont val="宋体"/>
            <charset val="134"/>
          </rPr>
          <t xml:space="preserve">
普票</t>
        </r>
      </text>
    </comment>
    <comment ref="V25" authorId="0">
      <text>
        <r>
          <rPr>
            <b/>
            <sz val="9"/>
            <rFont val="宋体"/>
            <charset val="134"/>
          </rPr>
          <t>MSD03:</t>
        </r>
        <r>
          <rPr>
            <sz val="9"/>
            <rFont val="宋体"/>
            <charset val="134"/>
          </rPr>
          <t xml:space="preserve">
13%</t>
        </r>
      </text>
    </comment>
    <comment ref="V27" authorId="0">
      <text>
        <r>
          <rPr>
            <b/>
            <sz val="9"/>
            <rFont val="宋体"/>
            <charset val="134"/>
          </rPr>
          <t>MSD03:</t>
        </r>
        <r>
          <rPr>
            <sz val="9"/>
            <rFont val="宋体"/>
            <charset val="134"/>
          </rPr>
          <t xml:space="preserve">
普票
</t>
        </r>
      </text>
    </comment>
  </commentList>
</comments>
</file>

<file path=xl/sharedStrings.xml><?xml version="1.0" encoding="utf-8"?>
<sst xmlns="http://schemas.openxmlformats.org/spreadsheetml/2006/main" count="1264" uniqueCount="476">
  <si>
    <t>1) ENGLISH ITEM NAME
 (ex : OOOO machine)</t>
  </si>
  <si>
    <r>
      <rPr>
        <b/>
        <sz val="12"/>
        <color rgb="FF000000"/>
        <rFont val="Arial"/>
        <charset val="134"/>
      </rPr>
      <t>2)</t>
    </r>
    <r>
      <rPr>
        <b/>
        <sz val="12"/>
        <color rgb="FF000000"/>
        <rFont val="楷体"/>
        <charset val="134"/>
      </rPr>
      <t>中文名称</t>
    </r>
  </si>
  <si>
    <t>3) MANUFACTUROR
(ex : OOO company)</t>
  </si>
  <si>
    <r>
      <rPr>
        <b/>
        <sz val="12"/>
        <color rgb="FF000000"/>
        <rFont val="楷体"/>
        <charset val="134"/>
      </rPr>
      <t>品牌</t>
    </r>
  </si>
  <si>
    <t>4) MODEL NO 
(ex : abc-123)</t>
  </si>
  <si>
    <t>MOLD NO</t>
  </si>
  <si>
    <t>5)Serial number</t>
  </si>
  <si>
    <t>6)CN hs code</t>
  </si>
  <si>
    <t>7)VN hs code</t>
  </si>
  <si>
    <r>
      <rPr>
        <b/>
        <sz val="12"/>
        <color rgb="FF000000"/>
        <rFont val="楷体"/>
        <charset val="134"/>
      </rPr>
      <t>申报要素</t>
    </r>
  </si>
  <si>
    <t>8)Material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</si>
  <si>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</si>
  <si>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</si>
  <si>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</si>
  <si>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</si>
  <si>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</si>
  <si>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</si>
  <si>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</si>
  <si>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</si>
  <si>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</si>
  <si>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</si>
  <si>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</si>
  <si>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</si>
  <si>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</si>
  <si>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</si>
  <si>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</si>
  <si>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</si>
  <si>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r>
      <rPr>
        <b/>
        <sz val="12"/>
        <color rgb="FF000000"/>
        <rFont val="Arial"/>
        <charset val="134"/>
      </rPr>
      <t>25)Part size</t>
    </r>
    <r>
      <rPr>
        <b/>
        <sz val="12"/>
        <color rgb="FF000000"/>
        <rFont val="宋体"/>
        <charset val="134"/>
      </rPr>
      <t>（</t>
    </r>
    <r>
      <rPr>
        <b/>
        <sz val="12"/>
        <color rgb="FF000000"/>
        <rFont val="Arial"/>
        <charset val="134"/>
      </rPr>
      <t>CM)</t>
    </r>
  </si>
  <si>
    <r>
      <rPr>
        <b/>
        <sz val="12"/>
        <color rgb="FF000000"/>
        <rFont val="Arial"/>
        <charset val="134"/>
      </rPr>
      <t>26)</t>
    </r>
    <r>
      <rPr>
        <b/>
        <sz val="12"/>
        <color rgb="FF000000"/>
        <rFont val="楷体"/>
        <charset val="134"/>
      </rPr>
      <t>应用范围</t>
    </r>
  </si>
  <si>
    <r>
      <rPr>
        <b/>
        <sz val="12"/>
        <color rgb="FF000000"/>
        <rFont val="Arial"/>
        <charset val="134"/>
      </rPr>
      <t>27)</t>
    </r>
    <r>
      <rPr>
        <b/>
        <sz val="12"/>
        <color rgb="FF000000"/>
        <rFont val="楷体"/>
        <charset val="134"/>
      </rPr>
      <t>是否带电源</t>
    </r>
  </si>
  <si>
    <r>
      <rPr>
        <b/>
        <sz val="12"/>
        <color rgb="FFFF0000"/>
        <rFont val="Arial"/>
        <charset val="134"/>
      </rPr>
      <t>PR</t>
    </r>
    <r>
      <rPr>
        <b/>
        <sz val="12"/>
        <color rgb="FFFF0000"/>
        <rFont val="楷体"/>
        <charset val="134"/>
      </rPr>
      <t>单价</t>
    </r>
  </si>
  <si>
    <t>HOT WATER MACHINE HEATING TUBE</t>
  </si>
  <si>
    <t>热水机加热管</t>
  </si>
  <si>
    <t>SHENZHEN BAO'AN DISTRICT SHAJING ZHIYI INJECTION MOLDING MACHINE PARTS STORE</t>
  </si>
  <si>
    <t>/</t>
  </si>
  <si>
    <r>
      <t>0|1|</t>
    </r>
    <r>
      <rPr>
        <strike/>
        <sz val="10"/>
        <color rgb="FF000000"/>
        <rFont val="宋体"/>
        <charset val="134"/>
      </rPr>
      <t>热水加热用</t>
    </r>
    <r>
      <rPr>
        <strike/>
        <sz val="10"/>
        <color rgb="FF000000"/>
        <rFont val="Arial"/>
        <charset val="134"/>
      </rPr>
      <t>|</t>
    </r>
    <r>
      <rPr>
        <strike/>
        <sz val="10"/>
        <color rgb="FF000000"/>
        <rFont val="宋体"/>
        <charset val="134"/>
      </rPr>
      <t>无品牌</t>
    </r>
    <r>
      <rPr>
        <strike/>
        <sz val="10"/>
        <color rgb="FF000000"/>
        <rFont val="Arial"/>
        <charset val="134"/>
      </rPr>
      <t>|</t>
    </r>
    <r>
      <rPr>
        <strike/>
        <sz val="10"/>
        <color rgb="FF000000"/>
        <rFont val="宋体"/>
        <charset val="134"/>
      </rPr>
      <t>无型号</t>
    </r>
  </si>
  <si>
    <t>STEEL</t>
  </si>
  <si>
    <t>220V</t>
  </si>
  <si>
    <t>2026.7.28</t>
  </si>
  <si>
    <t>CHINA</t>
  </si>
  <si>
    <t>NEW</t>
  </si>
  <si>
    <t>M1</t>
  </si>
  <si>
    <t>47*28*24</t>
  </si>
  <si>
    <t>41.5*6</t>
  </si>
  <si>
    <t>USED TO REPLACE COMPONENTS OF TIANZE WATER HEATER</t>
  </si>
  <si>
    <t>NO</t>
  </si>
  <si>
    <t>BELT</t>
  </si>
  <si>
    <t>皮带</t>
  </si>
  <si>
    <t>RECMF-6630</t>
  </si>
  <si>
    <r>
      <t>0|1|</t>
    </r>
    <r>
      <rPr>
        <strike/>
        <sz val="10"/>
        <color rgb="FF000000"/>
        <rFont val="宋体"/>
        <charset val="134"/>
      </rPr>
      <t>注塑用</t>
    </r>
    <r>
      <rPr>
        <strike/>
        <sz val="10"/>
        <color rgb="FF000000"/>
        <rFont val="Arial"/>
        <charset val="134"/>
      </rPr>
      <t>|</t>
    </r>
    <r>
      <rPr>
        <strike/>
        <sz val="10"/>
        <color rgb="FF000000"/>
        <rFont val="宋体"/>
        <charset val="134"/>
      </rPr>
      <t>黑色条状</t>
    </r>
    <r>
      <rPr>
        <strike/>
        <sz val="10"/>
        <color rgb="FF000000"/>
        <rFont val="Arial"/>
        <charset val="134"/>
      </rPr>
      <t>|</t>
    </r>
    <r>
      <rPr>
        <strike/>
        <sz val="10"/>
        <color rgb="FF000000"/>
        <rFont val="宋体"/>
        <charset val="134"/>
      </rPr>
      <t>橡胶</t>
    </r>
    <r>
      <rPr>
        <strike/>
        <sz val="10"/>
        <color rgb="FF000000"/>
        <rFont val="Arial"/>
        <charset val="134"/>
      </rPr>
      <t>|163.28cm|</t>
    </r>
    <r>
      <rPr>
        <strike/>
        <sz val="10"/>
        <color rgb="FF000000"/>
        <rFont val="宋体"/>
        <charset val="134"/>
      </rPr>
      <t>圆形状</t>
    </r>
    <r>
      <rPr>
        <strike/>
        <sz val="10"/>
        <color rgb="FF000000"/>
        <rFont val="Arial"/>
        <charset val="134"/>
      </rPr>
      <t>|</t>
    </r>
    <r>
      <rPr>
        <strike/>
        <sz val="10"/>
        <color rgb="FF000000"/>
        <rFont val="宋体"/>
        <charset val="134"/>
      </rPr>
      <t>无品牌</t>
    </r>
  </si>
  <si>
    <t>RUBBER</t>
  </si>
  <si>
    <t>52*52</t>
  </si>
  <si>
    <t>CRUSHER REPLACEMENT</t>
  </si>
  <si>
    <t>XPA1700</t>
  </si>
  <si>
    <r>
      <t>0|1|</t>
    </r>
    <r>
      <rPr>
        <strike/>
        <sz val="10"/>
        <color rgb="FF000000"/>
        <rFont val="宋体"/>
        <charset val="134"/>
      </rPr>
      <t>注塑用</t>
    </r>
    <r>
      <rPr>
        <strike/>
        <sz val="10"/>
        <color rgb="FF000000"/>
        <rFont val="Arial"/>
        <charset val="134"/>
      </rPr>
      <t>|</t>
    </r>
    <r>
      <rPr>
        <strike/>
        <sz val="10"/>
        <color rgb="FF000000"/>
        <rFont val="宋体"/>
        <charset val="134"/>
      </rPr>
      <t>黑色条状</t>
    </r>
    <r>
      <rPr>
        <strike/>
        <sz val="10"/>
        <color rgb="FF000000"/>
        <rFont val="Arial"/>
        <charset val="134"/>
      </rPr>
      <t>|</t>
    </r>
    <r>
      <rPr>
        <strike/>
        <sz val="10"/>
        <color rgb="FF000000"/>
        <rFont val="宋体"/>
        <charset val="134"/>
      </rPr>
      <t>橡胶</t>
    </r>
    <r>
      <rPr>
        <strike/>
        <sz val="10"/>
        <color rgb="FF000000"/>
        <rFont val="Arial"/>
        <charset val="134"/>
      </rPr>
      <t>|169.56cm|</t>
    </r>
    <r>
      <rPr>
        <strike/>
        <sz val="10"/>
        <color rgb="FF000000"/>
        <rFont val="宋体"/>
        <charset val="134"/>
      </rPr>
      <t>圆形状</t>
    </r>
    <r>
      <rPr>
        <strike/>
        <sz val="10"/>
        <color rgb="FF000000"/>
        <rFont val="Arial"/>
        <charset val="134"/>
      </rPr>
      <t>|</t>
    </r>
    <r>
      <rPr>
        <strike/>
        <sz val="10"/>
        <color rgb="FF000000"/>
        <rFont val="宋体"/>
        <charset val="134"/>
      </rPr>
      <t>无品牌</t>
    </r>
  </si>
  <si>
    <t>54*54</t>
  </si>
  <si>
    <t>XPB 2280</t>
  </si>
  <si>
    <r>
      <t>0|1|</t>
    </r>
    <r>
      <rPr>
        <strike/>
        <sz val="10"/>
        <color rgb="FF000000"/>
        <rFont val="宋体"/>
        <charset val="134"/>
      </rPr>
      <t>注塑用</t>
    </r>
    <r>
      <rPr>
        <strike/>
        <sz val="10"/>
        <color rgb="FF000000"/>
        <rFont val="Arial"/>
        <charset val="134"/>
      </rPr>
      <t>|</t>
    </r>
    <r>
      <rPr>
        <strike/>
        <sz val="10"/>
        <color rgb="FF000000"/>
        <rFont val="宋体"/>
        <charset val="134"/>
      </rPr>
      <t>黑色条状</t>
    </r>
    <r>
      <rPr>
        <strike/>
        <sz val="10"/>
        <color rgb="FF000000"/>
        <rFont val="Arial"/>
        <charset val="134"/>
      </rPr>
      <t>|</t>
    </r>
    <r>
      <rPr>
        <strike/>
        <sz val="10"/>
        <color rgb="FF000000"/>
        <rFont val="宋体"/>
        <charset val="134"/>
      </rPr>
      <t>橡胶</t>
    </r>
    <r>
      <rPr>
        <strike/>
        <sz val="10"/>
        <color rgb="FF000000"/>
        <rFont val="Arial"/>
        <charset val="134"/>
      </rPr>
      <t>|241.78cm|</t>
    </r>
    <r>
      <rPr>
        <strike/>
        <sz val="10"/>
        <color rgb="FF000000"/>
        <rFont val="宋体"/>
        <charset val="134"/>
      </rPr>
      <t>圆形状</t>
    </r>
    <r>
      <rPr>
        <strike/>
        <sz val="10"/>
        <color rgb="FF000000"/>
        <rFont val="Arial"/>
        <charset val="134"/>
      </rPr>
      <t>|</t>
    </r>
    <r>
      <rPr>
        <strike/>
        <sz val="10"/>
        <color rgb="FF000000"/>
        <rFont val="宋体"/>
        <charset val="134"/>
      </rPr>
      <t>无品牌</t>
    </r>
  </si>
  <si>
    <t>77*77</t>
  </si>
  <si>
    <t>FUSE ELEMENT</t>
  </si>
  <si>
    <t>熔断体</t>
  </si>
  <si>
    <t>ZHEJIANG CHINT ELECTRIC CO., LTD</t>
  </si>
  <si>
    <t>CHNT</t>
  </si>
  <si>
    <t>RT28-32(RO15)</t>
  </si>
  <si>
    <r>
      <t>3|1|</t>
    </r>
    <r>
      <rPr>
        <strike/>
        <sz val="10"/>
        <color rgb="FF000000"/>
        <rFont val="宋体"/>
        <charset val="134"/>
      </rPr>
      <t>电路保护用</t>
    </r>
    <r>
      <rPr>
        <strike/>
        <sz val="10"/>
        <color rgb="FF000000"/>
        <rFont val="Arial"/>
        <charset val="134"/>
      </rPr>
      <t>|500V|CHNT</t>
    </r>
    <r>
      <rPr>
        <strike/>
        <sz val="10"/>
        <color rgb="FF000000"/>
        <rFont val="宋体"/>
        <charset val="134"/>
      </rPr>
      <t>牌</t>
    </r>
    <r>
      <rPr>
        <strike/>
        <sz val="10"/>
        <color rgb="FF000000"/>
        <rFont val="Arial"/>
        <charset val="134"/>
      </rPr>
      <t>|RT28-32(RO15)</t>
    </r>
    <r>
      <rPr>
        <strike/>
        <sz val="10"/>
        <color rgb="FF000000"/>
        <rFont val="宋体"/>
        <charset val="134"/>
      </rPr>
      <t>型</t>
    </r>
  </si>
  <si>
    <t>CERAMIC</t>
  </si>
  <si>
    <t>AV500V</t>
  </si>
  <si>
    <t>2026.5.11</t>
  </si>
  <si>
    <t>M2</t>
  </si>
  <si>
    <t>49*27*35.5</t>
  </si>
  <si>
    <t>3.8*0.9</t>
  </si>
  <si>
    <t>FOR INJECTION MOLDING MACHINES</t>
  </si>
  <si>
    <t>IC TIMER</t>
  </si>
  <si>
    <t>时间继电器</t>
  </si>
  <si>
    <t>CIKACHIELECTRIC CO.,LTD</t>
  </si>
  <si>
    <t>CKC</t>
  </si>
  <si>
    <t>AH2-Y</t>
  </si>
  <si>
    <r>
      <t>3|0|</t>
    </r>
    <r>
      <rPr>
        <strike/>
        <sz val="10"/>
        <color rgb="FF000000"/>
        <rFont val="宋体"/>
        <charset val="134"/>
      </rPr>
      <t>根据设定的时间延迟，自动接通或断开电路</t>
    </r>
    <r>
      <rPr>
        <strike/>
        <sz val="10"/>
        <color rgb="FF000000"/>
        <rFont val="Arial"/>
        <charset val="134"/>
      </rPr>
      <t>|380V|CKC</t>
    </r>
    <r>
      <rPr>
        <strike/>
        <sz val="10"/>
        <color rgb="FF000000"/>
        <rFont val="宋体"/>
        <charset val="134"/>
      </rPr>
      <t>牌</t>
    </r>
    <r>
      <rPr>
        <strike/>
        <sz val="10"/>
        <color rgb="FF000000"/>
        <rFont val="Arial"/>
        <charset val="134"/>
      </rPr>
      <t>|AH2-Y</t>
    </r>
    <r>
      <rPr>
        <strike/>
        <sz val="10"/>
        <color rgb="FF000000"/>
        <rFont val="宋体"/>
        <charset val="134"/>
      </rPr>
      <t>型</t>
    </r>
  </si>
  <si>
    <t>ELECTRONIC+PLC</t>
  </si>
  <si>
    <t>380V</t>
  </si>
  <si>
    <t>TAIWAN CHINA</t>
  </si>
  <si>
    <t>8.5*9</t>
  </si>
  <si>
    <t>MIXING MACHINE REPLACEMENT</t>
  </si>
  <si>
    <t>SHOCK ABSORBER</t>
  </si>
  <si>
    <t>减震器</t>
  </si>
  <si>
    <t>AD 2030</t>
  </si>
  <si>
    <r>
      <t>0|1|</t>
    </r>
    <r>
      <rPr>
        <strike/>
        <sz val="10"/>
        <color rgb="FF000000"/>
        <rFont val="宋体"/>
        <charset val="134"/>
      </rPr>
      <t>注塑机用</t>
    </r>
    <r>
      <rPr>
        <strike/>
        <sz val="10"/>
        <color rgb="FF000000"/>
        <rFont val="Arial"/>
        <charset val="134"/>
      </rPr>
      <t>|</t>
    </r>
    <r>
      <rPr>
        <strike/>
        <sz val="10"/>
        <color rgb="FF000000"/>
        <rFont val="宋体"/>
        <charset val="134"/>
      </rPr>
      <t>无品牌</t>
    </r>
    <r>
      <rPr>
        <strike/>
        <sz val="10"/>
        <color rgb="FF000000"/>
        <rFont val="Arial"/>
        <charset val="134"/>
      </rPr>
      <t>|AD2030</t>
    </r>
    <r>
      <rPr>
        <strike/>
        <sz val="10"/>
        <color rgb="FF000000"/>
        <rFont val="宋体"/>
        <charset val="134"/>
      </rPr>
      <t>型</t>
    </r>
  </si>
  <si>
    <t>16*3</t>
  </si>
  <si>
    <t>MIXING MACHINE REPLACEMENT INJECTION MOLDING MACHINE MECHANICAL ARM REPLACEMENT</t>
  </si>
  <si>
    <t>THIMBLE</t>
  </si>
  <si>
    <t>司筒顶针</t>
  </si>
  <si>
    <t>2.5*5*200</t>
  </si>
  <si>
    <r>
      <t>0|1|</t>
    </r>
    <r>
      <rPr>
        <strike/>
        <sz val="10"/>
        <color rgb="FF000000"/>
        <rFont val="宋体"/>
        <charset val="134"/>
      </rPr>
      <t>注塑机用</t>
    </r>
    <r>
      <rPr>
        <strike/>
        <sz val="10"/>
        <color rgb="FF000000"/>
        <rFont val="Arial"/>
        <charset val="134"/>
      </rPr>
      <t>|</t>
    </r>
    <r>
      <rPr>
        <strike/>
        <sz val="10"/>
        <color rgb="FF000000"/>
        <rFont val="宋体"/>
        <charset val="134"/>
      </rPr>
      <t>无品牌</t>
    </r>
    <r>
      <rPr>
        <strike/>
        <sz val="10"/>
        <color rgb="FF000000"/>
        <rFont val="Arial"/>
        <charset val="134"/>
      </rPr>
      <t>|52.5*5*200</t>
    </r>
    <r>
      <rPr>
        <strike/>
        <sz val="10"/>
        <color rgb="FF000000"/>
        <rFont val="宋体"/>
        <charset val="134"/>
      </rPr>
      <t>型</t>
    </r>
  </si>
  <si>
    <t>2026.5.28</t>
  </si>
  <si>
    <t>30*1</t>
  </si>
  <si>
    <t>MOLD REPAIR</t>
  </si>
  <si>
    <t>顶针</t>
  </si>
  <si>
    <t>1.5 x 3 x 70 x 200</t>
  </si>
  <si>
    <r>
      <t>0|1|</t>
    </r>
    <r>
      <rPr>
        <strike/>
        <sz val="10"/>
        <color rgb="FF000000"/>
        <rFont val="宋体"/>
        <charset val="134"/>
      </rPr>
      <t>注塑机用</t>
    </r>
    <r>
      <rPr>
        <strike/>
        <sz val="10"/>
        <color rgb="FF000000"/>
        <rFont val="Arial"/>
        <charset val="134"/>
      </rPr>
      <t>|</t>
    </r>
    <r>
      <rPr>
        <strike/>
        <sz val="10"/>
        <color rgb="FF000000"/>
        <rFont val="宋体"/>
        <charset val="134"/>
      </rPr>
      <t>无品牌</t>
    </r>
    <r>
      <rPr>
        <strike/>
        <sz val="10"/>
        <color rgb="FF000000"/>
        <rFont val="Arial"/>
        <charset val="134"/>
      </rPr>
      <t>|</t>
    </r>
    <r>
      <rPr>
        <strike/>
        <sz val="10"/>
        <color rgb="FF000000"/>
        <rFont val="宋体"/>
        <charset val="134"/>
      </rPr>
      <t>1.5 x 3 x 70 x 200型</t>
    </r>
  </si>
  <si>
    <t>20*0.5</t>
  </si>
  <si>
    <t>2.5*250</t>
  </si>
  <si>
    <r>
      <t>0|1|</t>
    </r>
    <r>
      <rPr>
        <strike/>
        <sz val="10"/>
        <color rgb="FF000000"/>
        <rFont val="宋体"/>
        <charset val="134"/>
      </rPr>
      <t>注塑机用</t>
    </r>
    <r>
      <rPr>
        <strike/>
        <sz val="10"/>
        <color rgb="FF000000"/>
        <rFont val="Arial"/>
        <charset val="134"/>
      </rPr>
      <t>|</t>
    </r>
    <r>
      <rPr>
        <strike/>
        <sz val="10"/>
        <color rgb="FF000000"/>
        <rFont val="宋体"/>
        <charset val="134"/>
      </rPr>
      <t>无品牌</t>
    </r>
    <r>
      <rPr>
        <strike/>
        <sz val="10"/>
        <color rgb="FF000000"/>
        <rFont val="Arial"/>
        <charset val="134"/>
      </rPr>
      <t>|</t>
    </r>
    <r>
      <rPr>
        <strike/>
        <sz val="10"/>
        <color rgb="FF000000"/>
        <rFont val="宋体"/>
        <charset val="134"/>
      </rPr>
      <t>2.5*250型</t>
    </r>
  </si>
  <si>
    <t>25*0.5</t>
  </si>
  <si>
    <t>TAPPING</t>
  </si>
  <si>
    <t>攻牙</t>
  </si>
  <si>
    <t>M10</t>
  </si>
  <si>
    <t>T2809422-C</t>
  </si>
  <si>
    <r>
      <t>0|1|</t>
    </r>
    <r>
      <rPr>
        <strike/>
        <sz val="10"/>
        <color rgb="FF000000"/>
        <rFont val="宋体"/>
        <charset val="134"/>
      </rPr>
      <t>钻探用</t>
    </r>
    <r>
      <rPr>
        <strike/>
        <sz val="10"/>
        <color rgb="FF000000"/>
        <rFont val="Arial"/>
        <charset val="134"/>
      </rPr>
      <t>|</t>
    </r>
    <r>
      <rPr>
        <strike/>
        <sz val="10"/>
        <color rgb="FF000000"/>
        <rFont val="宋体"/>
        <charset val="134"/>
      </rPr>
      <t>不锈钢制</t>
    </r>
    <r>
      <rPr>
        <strike/>
        <sz val="10"/>
        <color rgb="FF000000"/>
        <rFont val="Arial"/>
        <charset val="134"/>
      </rPr>
      <t>|</t>
    </r>
    <r>
      <rPr>
        <strike/>
        <sz val="10"/>
        <color rgb="FF000000"/>
        <rFont val="宋体"/>
        <charset val="134"/>
      </rPr>
      <t>未带</t>
    </r>
    <r>
      <rPr>
        <strike/>
        <sz val="10"/>
        <color rgb="FF000000"/>
        <rFont val="Arial"/>
        <charset val="134"/>
      </rPr>
      <t>|</t>
    </r>
    <r>
      <rPr>
        <strike/>
        <sz val="10"/>
        <color rgb="FF000000"/>
        <rFont val="宋体"/>
        <charset val="134"/>
      </rPr>
      <t>无品牌</t>
    </r>
    <r>
      <rPr>
        <strike/>
        <sz val="10"/>
        <color rgb="FF000000"/>
        <rFont val="Arial"/>
        <charset val="134"/>
      </rPr>
      <t>|</t>
    </r>
    <r>
      <rPr>
        <strike/>
        <sz val="10"/>
        <color rgb="FF000000"/>
        <rFont val="宋体"/>
        <charset val="134"/>
      </rPr>
      <t>M10型</t>
    </r>
  </si>
  <si>
    <t>7.5*0.5</t>
  </si>
  <si>
    <t>M6</t>
  </si>
  <si>
    <t>T2809312-C</t>
  </si>
  <si>
    <r>
      <t>|1|</t>
    </r>
    <r>
      <rPr>
        <strike/>
        <sz val="10"/>
        <color rgb="FF000000"/>
        <rFont val="宋体"/>
        <charset val="134"/>
      </rPr>
      <t>钻探用</t>
    </r>
    <r>
      <rPr>
        <strike/>
        <sz val="10"/>
        <color rgb="FF000000"/>
        <rFont val="Arial"/>
        <charset val="134"/>
      </rPr>
      <t>|</t>
    </r>
    <r>
      <rPr>
        <strike/>
        <sz val="10"/>
        <color rgb="FF000000"/>
        <rFont val="宋体"/>
        <charset val="134"/>
      </rPr>
      <t>不锈钢制</t>
    </r>
    <r>
      <rPr>
        <strike/>
        <sz val="10"/>
        <color rgb="FF000000"/>
        <rFont val="Arial"/>
        <charset val="134"/>
      </rPr>
      <t>|</t>
    </r>
    <r>
      <rPr>
        <strike/>
        <sz val="10"/>
        <color rgb="FF000000"/>
        <rFont val="宋体"/>
        <charset val="134"/>
      </rPr>
      <t>未带</t>
    </r>
    <r>
      <rPr>
        <strike/>
        <sz val="10"/>
        <color rgb="FF000000"/>
        <rFont val="Arial"/>
        <charset val="134"/>
      </rPr>
      <t>|</t>
    </r>
    <r>
      <rPr>
        <strike/>
        <sz val="10"/>
        <color rgb="FF000000"/>
        <rFont val="宋体"/>
        <charset val="134"/>
      </rPr>
      <t>无品牌</t>
    </r>
    <r>
      <rPr>
        <strike/>
        <sz val="10"/>
        <color rgb="FF000000"/>
        <rFont val="Arial"/>
        <charset val="134"/>
      </rPr>
      <t>|</t>
    </r>
    <r>
      <rPr>
        <strike/>
        <sz val="10"/>
        <color rgb="FF000000"/>
        <rFont val="宋体"/>
        <charset val="134"/>
      </rPr>
      <t>M6型</t>
    </r>
  </si>
  <si>
    <t>6.5*0.5</t>
  </si>
  <si>
    <t>RED COPPER</t>
  </si>
  <si>
    <t>红铜</t>
  </si>
  <si>
    <r>
      <t>∅</t>
    </r>
    <r>
      <rPr>
        <strike/>
        <sz val="10"/>
        <rFont val="Arial"/>
        <charset val="134"/>
      </rPr>
      <t>60mm</t>
    </r>
  </si>
  <si>
    <r>
      <t>0|1|</t>
    </r>
    <r>
      <rPr>
        <strike/>
        <sz val="10"/>
        <color rgb="FF000000"/>
        <rFont val="宋体"/>
        <charset val="134"/>
      </rPr>
      <t>型材</t>
    </r>
    <r>
      <rPr>
        <strike/>
        <sz val="10"/>
        <color rgb="FF000000"/>
        <rFont val="Arial"/>
        <charset val="134"/>
      </rPr>
      <t>|</t>
    </r>
    <r>
      <rPr>
        <strike/>
        <sz val="10"/>
        <color rgb="FF000000"/>
        <rFont val="宋体"/>
        <charset val="134"/>
      </rPr>
      <t>红铜</t>
    </r>
    <r>
      <rPr>
        <strike/>
        <sz val="10"/>
        <color rgb="FF000000"/>
        <rFont val="Arial"/>
        <charset val="134"/>
      </rPr>
      <t>|</t>
    </r>
    <r>
      <rPr>
        <strike/>
        <sz val="10"/>
        <color rgb="FF000000"/>
        <rFont val="宋体"/>
        <charset val="134"/>
      </rPr>
      <t>锻轧</t>
    </r>
    <r>
      <rPr>
        <strike/>
        <sz val="10"/>
        <color rgb="FF000000"/>
        <rFont val="Arial"/>
        <charset val="134"/>
      </rPr>
      <t>|</t>
    </r>
    <r>
      <rPr>
        <strike/>
        <sz val="10"/>
        <color rgb="FF000000"/>
        <rFont val="宋体"/>
        <charset val="134"/>
      </rPr>
      <t>铜</t>
    </r>
    <r>
      <rPr>
        <strike/>
        <sz val="10"/>
        <color rgb="FF000000"/>
        <rFont val="Arial"/>
        <charset val="134"/>
      </rPr>
      <t>99.95%/</t>
    </r>
    <r>
      <rPr>
        <strike/>
        <sz val="10"/>
        <color rgb="FF000000"/>
        <rFont val="宋体"/>
        <charset val="134"/>
      </rPr>
      <t>铁</t>
    </r>
    <r>
      <rPr>
        <strike/>
        <sz val="10"/>
        <color rgb="FF000000"/>
        <rFont val="Arial"/>
        <charset val="134"/>
      </rPr>
      <t>&lt;0.005%/</t>
    </r>
    <r>
      <rPr>
        <strike/>
        <sz val="10"/>
        <color rgb="FF000000"/>
        <rFont val="宋体"/>
        <charset val="134"/>
      </rPr>
      <t>镍</t>
    </r>
    <r>
      <rPr>
        <strike/>
        <sz val="10"/>
        <color rgb="FF000000"/>
        <rFont val="Arial"/>
        <charset val="134"/>
      </rPr>
      <t>&lt;0.002%/</t>
    </r>
    <r>
      <rPr>
        <strike/>
        <sz val="10"/>
        <color rgb="FF000000"/>
        <rFont val="宋体"/>
        <charset val="134"/>
      </rPr>
      <t>硫</t>
    </r>
    <r>
      <rPr>
        <strike/>
        <sz val="10"/>
        <color rgb="FF000000"/>
        <rFont val="Arial"/>
        <charset val="134"/>
      </rPr>
      <t>&lt;0.005%</t>
    </r>
  </si>
  <si>
    <t>20*6</t>
  </si>
  <si>
    <t>DIAMOND GRINDING HEAD</t>
  </si>
  <si>
    <t>金刚石磨头</t>
  </si>
  <si>
    <t>金鱼</t>
  </si>
  <si>
    <t>BMS-300</t>
  </si>
  <si>
    <r>
      <t>3|0|</t>
    </r>
    <r>
      <rPr>
        <strike/>
        <sz val="10"/>
        <color rgb="FF000000"/>
        <rFont val="宋体"/>
        <charset val="134"/>
      </rPr>
      <t>打磨用</t>
    </r>
    <r>
      <rPr>
        <strike/>
        <sz val="10"/>
        <color rgb="FF000000"/>
        <rFont val="Arial"/>
        <charset val="134"/>
      </rPr>
      <t>|</t>
    </r>
    <r>
      <rPr>
        <strike/>
        <sz val="10"/>
        <color rgb="FF000000"/>
        <rFont val="宋体"/>
        <charset val="134"/>
      </rPr>
      <t>金鱼牌</t>
    </r>
    <r>
      <rPr>
        <strike/>
        <sz val="10"/>
        <color rgb="FF000000"/>
        <rFont val="Arial"/>
        <charset val="134"/>
      </rPr>
      <t>|BMS-300</t>
    </r>
    <r>
      <rPr>
        <strike/>
        <sz val="10"/>
        <color rgb="FF000000"/>
        <rFont val="宋体"/>
        <charset val="134"/>
      </rPr>
      <t>型</t>
    </r>
  </si>
  <si>
    <t>14*7</t>
  </si>
  <si>
    <t>SPRING</t>
  </si>
  <si>
    <t>模具弹簧</t>
  </si>
  <si>
    <t>TF14*55</t>
  </si>
  <si>
    <r>
      <t>0|1|</t>
    </r>
    <r>
      <rPr>
        <strike/>
        <sz val="10"/>
        <color rgb="FF000000"/>
        <rFont val="宋体"/>
        <charset val="134"/>
      </rPr>
      <t>模具用</t>
    </r>
    <r>
      <rPr>
        <strike/>
        <sz val="10"/>
        <color rgb="FF000000"/>
        <rFont val="Arial"/>
        <charset val="134"/>
      </rPr>
      <t>|</t>
    </r>
    <r>
      <rPr>
        <strike/>
        <sz val="10"/>
        <color rgb="FF000000"/>
        <rFont val="宋体"/>
        <charset val="134"/>
      </rPr>
      <t>弹簧钢</t>
    </r>
  </si>
  <si>
    <t>2026.07.14</t>
  </si>
  <si>
    <t>5.5*1.4</t>
  </si>
  <si>
    <t>PNEUMATIC FIXTURE</t>
  </si>
  <si>
    <t>气动夹具</t>
  </si>
  <si>
    <t>GR04 100</t>
  </si>
  <si>
    <r>
      <t>0|1|</t>
    </r>
    <r>
      <rPr>
        <strike/>
        <sz val="10"/>
        <color rgb="FF000000"/>
        <rFont val="宋体"/>
        <charset val="134"/>
      </rPr>
      <t>电子产品通用</t>
    </r>
    <r>
      <rPr>
        <strike/>
        <sz val="10"/>
        <color rgb="FF000000"/>
        <rFont val="Arial"/>
        <charset val="134"/>
      </rPr>
      <t>|</t>
    </r>
    <r>
      <rPr>
        <strike/>
        <sz val="10"/>
        <color rgb="FF000000"/>
        <rFont val="宋体"/>
        <charset val="134"/>
      </rPr>
      <t>无品牌</t>
    </r>
    <r>
      <rPr>
        <strike/>
        <sz val="10"/>
        <color rgb="FF000000"/>
        <rFont val="Arial"/>
        <charset val="134"/>
      </rPr>
      <t>|GR04 100</t>
    </r>
    <r>
      <rPr>
        <strike/>
        <sz val="10"/>
        <color rgb="FF000000"/>
        <rFont val="宋体"/>
        <charset val="134"/>
      </rPr>
      <t>型</t>
    </r>
  </si>
  <si>
    <t>PLASTIC</t>
  </si>
  <si>
    <t>8*3*1.5</t>
  </si>
  <si>
    <t>INSTALL ROBOTIC ARM FIXTURES</t>
  </si>
  <si>
    <t>MOLD HOOK</t>
  </si>
  <si>
    <t>模具吊钩</t>
  </si>
  <si>
    <t>M16</t>
  </si>
  <si>
    <r>
      <t>0|1|</t>
    </r>
    <r>
      <rPr>
        <strike/>
        <sz val="10"/>
        <color rgb="FF000000"/>
        <rFont val="宋体"/>
        <charset val="134"/>
      </rPr>
      <t>起重模具时用</t>
    </r>
    <r>
      <rPr>
        <strike/>
        <sz val="10"/>
        <color rgb="FF000000"/>
        <rFont val="Arial"/>
        <charset val="134"/>
      </rPr>
      <t>|</t>
    </r>
    <r>
      <rPr>
        <strike/>
        <sz val="10"/>
        <color rgb="FF000000"/>
        <rFont val="宋体"/>
        <charset val="134"/>
      </rPr>
      <t>不锈钢</t>
    </r>
    <r>
      <rPr>
        <strike/>
        <sz val="10"/>
        <color rgb="FF000000"/>
        <rFont val="Arial"/>
        <charset val="134"/>
      </rPr>
      <t>|</t>
    </r>
    <r>
      <rPr>
        <strike/>
        <sz val="10"/>
        <color rgb="FF000000"/>
        <rFont val="宋体"/>
        <charset val="134"/>
      </rPr>
      <t>无品牌</t>
    </r>
    <r>
      <rPr>
        <strike/>
        <sz val="10"/>
        <color rgb="FF000000"/>
        <rFont val="Arial"/>
        <charset val="134"/>
      </rPr>
      <t>|</t>
    </r>
    <r>
      <rPr>
        <strike/>
        <sz val="10"/>
        <color rgb="FF000000"/>
        <rFont val="宋体"/>
        <charset val="134"/>
      </rPr>
      <t>无型号</t>
    </r>
    <r>
      <rPr>
        <strike/>
        <sz val="10"/>
        <color rgb="FF000000"/>
        <rFont val="Arial"/>
        <charset val="134"/>
      </rPr>
      <t>|</t>
    </r>
    <r>
      <rPr>
        <strike/>
        <sz val="10"/>
        <color rgb="FF000000"/>
        <rFont val="宋体"/>
        <charset val="134"/>
      </rPr>
      <t>不锈钢</t>
    </r>
    <r>
      <rPr>
        <strike/>
        <sz val="10"/>
        <color rgb="FF000000"/>
        <rFont val="Arial"/>
        <charset val="134"/>
      </rPr>
      <t>|</t>
    </r>
    <r>
      <rPr>
        <strike/>
        <sz val="10"/>
        <color rgb="FF000000"/>
        <rFont val="宋体"/>
        <charset val="134"/>
      </rPr>
      <t>拧紧吊环时螺杆产生轴向预紧力，螺纹牙之间被紧密压紧，固定模具吊装</t>
    </r>
  </si>
  <si>
    <t>9*6.5</t>
  </si>
  <si>
    <t>HANGING MOLD</t>
  </si>
  <si>
    <t>M20</t>
  </si>
  <si>
    <t>10*7.2</t>
  </si>
  <si>
    <t>M24</t>
  </si>
  <si>
    <t>12.5*9</t>
  </si>
  <si>
    <t>1.8 x 3 x 70 x 150</t>
  </si>
  <si>
    <r>
      <t>0|1|</t>
    </r>
    <r>
      <rPr>
        <strike/>
        <sz val="10"/>
        <color rgb="FF000000"/>
        <rFont val="宋体"/>
        <charset val="134"/>
      </rPr>
      <t>注塑机用</t>
    </r>
    <r>
      <rPr>
        <strike/>
        <sz val="10"/>
        <color rgb="FF000000"/>
        <rFont val="Arial"/>
        <charset val="134"/>
      </rPr>
      <t>|</t>
    </r>
    <r>
      <rPr>
        <strike/>
        <sz val="10"/>
        <color rgb="FF000000"/>
        <rFont val="宋体"/>
        <charset val="134"/>
      </rPr>
      <t>无品牌</t>
    </r>
    <r>
      <rPr>
        <strike/>
        <sz val="10"/>
        <color rgb="FF000000"/>
        <rFont val="Arial"/>
        <charset val="134"/>
      </rPr>
      <t>|</t>
    </r>
    <r>
      <rPr>
        <strike/>
        <sz val="10"/>
        <color rgb="FF000000"/>
        <rFont val="宋体"/>
        <charset val="134"/>
      </rPr>
      <t>1.8 x 3 x 70 x 150型</t>
    </r>
  </si>
  <si>
    <t>15.2*0.5</t>
  </si>
  <si>
    <t>SCREW</t>
  </si>
  <si>
    <t>塞打螺丝</t>
  </si>
  <si>
    <t>M12</t>
  </si>
  <si>
    <r>
      <t>0|1|</t>
    </r>
    <r>
      <rPr>
        <strike/>
        <sz val="10"/>
        <color rgb="FF000000"/>
        <rFont val="宋体"/>
        <charset val="134"/>
      </rPr>
      <t>模具用</t>
    </r>
    <r>
      <rPr>
        <strike/>
        <sz val="10"/>
        <color rgb="FF000000"/>
        <rFont val="Arial"/>
        <charset val="134"/>
      </rPr>
      <t>|</t>
    </r>
    <r>
      <rPr>
        <strike/>
        <sz val="10"/>
        <color rgb="FF000000"/>
        <rFont val="宋体"/>
        <charset val="134"/>
      </rPr>
      <t>无品牌</t>
    </r>
    <r>
      <rPr>
        <strike/>
        <sz val="10"/>
        <color rgb="FF000000"/>
        <rFont val="Arial"/>
        <charset val="134"/>
      </rPr>
      <t>|M12</t>
    </r>
    <r>
      <rPr>
        <strike/>
        <sz val="10"/>
        <color rgb="FF000000"/>
        <rFont val="宋体"/>
        <charset val="134"/>
      </rPr>
      <t>型</t>
    </r>
  </si>
  <si>
    <t>6*2.1</t>
  </si>
  <si>
    <r>
      <t>0|1|</t>
    </r>
    <r>
      <rPr>
        <strike/>
        <sz val="10"/>
        <color rgb="FF000000"/>
        <rFont val="宋体"/>
        <charset val="134"/>
      </rPr>
      <t>模具用</t>
    </r>
    <r>
      <rPr>
        <strike/>
        <sz val="10"/>
        <color rgb="FF000000"/>
        <rFont val="Arial"/>
        <charset val="134"/>
      </rPr>
      <t>|</t>
    </r>
    <r>
      <rPr>
        <strike/>
        <sz val="10"/>
        <color rgb="FF000000"/>
        <rFont val="宋体"/>
        <charset val="134"/>
      </rPr>
      <t>无品牌</t>
    </r>
    <r>
      <rPr>
        <strike/>
        <sz val="10"/>
        <color rgb="FF000000"/>
        <rFont val="Arial"/>
        <charset val="134"/>
      </rPr>
      <t>|M10</t>
    </r>
    <r>
      <rPr>
        <strike/>
        <sz val="10"/>
        <color rgb="FF000000"/>
        <rFont val="宋体"/>
        <charset val="134"/>
      </rPr>
      <t>型</t>
    </r>
  </si>
  <si>
    <t>17.3*1.5</t>
  </si>
  <si>
    <t>MICRO AIR GRINDER</t>
  </si>
  <si>
    <t>气动刻磨机</t>
  </si>
  <si>
    <t>TAIWAN  SHENGHUI AIR TOOLS CO.,LTD</t>
  </si>
  <si>
    <t>黑鹰</t>
  </si>
  <si>
    <r>
      <t>0|0|</t>
    </r>
    <r>
      <rPr>
        <strike/>
        <sz val="10"/>
        <color rgb="FF000000"/>
        <rFont val="宋体"/>
        <charset val="134"/>
      </rPr>
      <t>模具用</t>
    </r>
    <r>
      <rPr>
        <strike/>
        <sz val="10"/>
        <color rgb="FF000000"/>
        <rFont val="Arial"/>
        <charset val="134"/>
      </rPr>
      <t>|</t>
    </r>
    <r>
      <rPr>
        <strike/>
        <sz val="10"/>
        <color rgb="FF000000"/>
        <rFont val="宋体"/>
        <charset val="134"/>
      </rPr>
      <t>钢</t>
    </r>
    <r>
      <rPr>
        <strike/>
        <sz val="10"/>
        <color rgb="FF000000"/>
        <rFont val="Arial"/>
        <charset val="134"/>
      </rPr>
      <t>|</t>
    </r>
    <r>
      <rPr>
        <strike/>
        <sz val="10"/>
        <color rgb="FF000000"/>
        <rFont val="宋体"/>
        <charset val="134"/>
      </rPr>
      <t>成套</t>
    </r>
    <r>
      <rPr>
        <strike/>
        <sz val="10"/>
        <color rgb="FF000000"/>
        <rFont val="Arial"/>
        <charset val="134"/>
      </rPr>
      <t>|</t>
    </r>
    <r>
      <rPr>
        <strike/>
        <sz val="10"/>
        <color rgb="FF000000"/>
        <rFont val="宋体"/>
        <charset val="134"/>
      </rPr>
      <t>无品牌</t>
    </r>
    <r>
      <rPr>
        <strike/>
        <sz val="10"/>
        <color rgb="FF000000"/>
        <rFont val="Arial"/>
        <charset val="134"/>
      </rPr>
      <t>|</t>
    </r>
    <r>
      <rPr>
        <strike/>
        <sz val="10"/>
        <color rgb="FF000000"/>
        <rFont val="宋体"/>
        <charset val="134"/>
      </rPr>
      <t>无型号</t>
    </r>
  </si>
  <si>
    <t>19*3</t>
  </si>
  <si>
    <t>NITROGEN NEEDLE</t>
  </si>
  <si>
    <t>氮气针</t>
  </si>
  <si>
    <t>DONGGUAN XINYUXIN AUTOMOTIVE MOLD STANDARD PARTS CO., LTD</t>
  </si>
  <si>
    <t>078-11</t>
  </si>
  <si>
    <r>
      <t>0|1|</t>
    </r>
    <r>
      <rPr>
        <strike/>
        <sz val="10"/>
        <color rgb="FF000000"/>
        <rFont val="宋体"/>
        <charset val="134"/>
      </rPr>
      <t>模具气动顶出用</t>
    </r>
    <r>
      <rPr>
        <strike/>
        <sz val="10"/>
        <color rgb="FF000000"/>
        <rFont val="Arial"/>
        <charset val="134"/>
      </rPr>
      <t>|</t>
    </r>
    <r>
      <rPr>
        <strike/>
        <sz val="10"/>
        <color rgb="FF000000"/>
        <rFont val="宋体"/>
        <charset val="134"/>
      </rPr>
      <t>钢</t>
    </r>
    <r>
      <rPr>
        <strike/>
        <sz val="10"/>
        <color rgb="FF000000"/>
        <rFont val="Arial"/>
        <charset val="134"/>
      </rPr>
      <t>|</t>
    </r>
    <r>
      <rPr>
        <strike/>
        <sz val="10"/>
        <color rgb="FF000000"/>
        <rFont val="宋体"/>
        <charset val="134"/>
      </rPr>
      <t>未带工作部件</t>
    </r>
    <r>
      <rPr>
        <strike/>
        <sz val="10"/>
        <color rgb="FF000000"/>
        <rFont val="Arial"/>
        <charset val="134"/>
      </rPr>
      <t>|</t>
    </r>
    <r>
      <rPr>
        <strike/>
        <sz val="10"/>
        <color rgb="FF000000"/>
        <rFont val="宋体"/>
        <charset val="134"/>
      </rPr>
      <t>无品牌</t>
    </r>
    <r>
      <rPr>
        <strike/>
        <sz val="10"/>
        <color rgb="FF000000"/>
        <rFont val="Arial"/>
        <charset val="134"/>
      </rPr>
      <t>|078-11</t>
    </r>
    <r>
      <rPr>
        <strike/>
        <sz val="10"/>
        <color rgb="FF000000"/>
        <rFont val="宋体"/>
        <charset val="134"/>
      </rPr>
      <t>型</t>
    </r>
  </si>
  <si>
    <t>2026.7.30</t>
  </si>
  <si>
    <t>4*0.5</t>
  </si>
  <si>
    <t>CERAMIC RING</t>
  </si>
  <si>
    <t>陶瓷环</t>
  </si>
  <si>
    <t>RJ-1</t>
  </si>
  <si>
    <t>90*82*12</t>
  </si>
  <si>
    <r>
      <t>0|1|</t>
    </r>
    <r>
      <rPr>
        <strike/>
        <sz val="10"/>
        <color rgb="FF000000"/>
        <rFont val="宋体"/>
        <charset val="134"/>
      </rPr>
      <t>瓷制丝印机用</t>
    </r>
    <r>
      <rPr>
        <strike/>
        <sz val="10"/>
        <color rgb="FF000000"/>
        <rFont val="Arial"/>
        <charset val="134"/>
      </rPr>
      <t>|</t>
    </r>
    <r>
      <rPr>
        <strike/>
        <sz val="10"/>
        <color rgb="FF000000"/>
        <rFont val="宋体"/>
        <charset val="134"/>
      </rPr>
      <t>无品牌</t>
    </r>
    <r>
      <rPr>
        <strike/>
        <sz val="10"/>
        <color rgb="FF000000"/>
        <rFont val="Arial"/>
        <charset val="134"/>
      </rPr>
      <t>|RJ-1</t>
    </r>
    <r>
      <rPr>
        <strike/>
        <sz val="10"/>
        <color rgb="FF000000"/>
        <rFont val="宋体"/>
        <charset val="134"/>
      </rPr>
      <t>型</t>
    </r>
  </si>
  <si>
    <t>CERAMICS</t>
  </si>
  <si>
    <t>2026.7.27</t>
  </si>
  <si>
    <t>M3</t>
  </si>
  <si>
    <t>28.5*16.5*19</t>
  </si>
  <si>
    <t>REPLACEMENT OF TRANSFER PRINTING MACHINE</t>
  </si>
  <si>
    <t>120*110*12</t>
  </si>
  <si>
    <t>COLOR CARD NEEDLE FIXING FIXTURE</t>
  </si>
  <si>
    <t>彩卡订针治具</t>
  </si>
  <si>
    <t>TECHSEN ELECTRONICS(SHENZHEN)CO.,LTD</t>
  </si>
  <si>
    <t>FSC-10</t>
  </si>
  <si>
    <t>FSC-10F04</t>
  </si>
  <si>
    <r>
      <rPr>
        <sz val="10"/>
        <color rgb="FF000000"/>
        <rFont val="Arial"/>
        <charset val="134"/>
      </rPr>
      <t>0|1|</t>
    </r>
    <r>
      <rPr>
        <sz val="10"/>
        <color rgb="FF000000"/>
        <rFont val="宋体"/>
        <charset val="134"/>
      </rPr>
      <t>生产组装用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无品牌</t>
    </r>
    <r>
      <rPr>
        <sz val="10"/>
        <color rgb="FF000000"/>
        <rFont val="Arial"/>
        <charset val="134"/>
      </rPr>
      <t>|FSC-10</t>
    </r>
    <r>
      <rPr>
        <sz val="10"/>
        <color rgb="FF000000"/>
        <rFont val="宋体"/>
        <charset val="134"/>
      </rPr>
      <t>型</t>
    </r>
  </si>
  <si>
    <t>铁+电木板</t>
  </si>
  <si>
    <t>BAKELITE+IRON</t>
  </si>
  <si>
    <t>A10</t>
  </si>
  <si>
    <t>52X36X33</t>
  </si>
  <si>
    <t>29X18X19</t>
  </si>
  <si>
    <t>ASSEMBLY</t>
  </si>
  <si>
    <t>COLOR CARD POSITIONING FIXTURE</t>
  </si>
  <si>
    <t>彩卡定位治具</t>
  </si>
  <si>
    <t>FSC-10F05</t>
  </si>
  <si>
    <t>电木板</t>
  </si>
  <si>
    <t>BAKELITE</t>
  </si>
  <si>
    <t>18X14X1</t>
  </si>
  <si>
    <t>COLOR PRESS CARD FOLDING FIXTURE</t>
  </si>
  <si>
    <t>压彩卡折位治具</t>
  </si>
  <si>
    <t>FSC-10F06</t>
  </si>
  <si>
    <t>赛钢</t>
  </si>
  <si>
    <t>15X6X2</t>
  </si>
  <si>
    <t>HOT BEER IRON PILLAR</t>
  </si>
  <si>
    <t>热啤铁柱</t>
  </si>
  <si>
    <t>MONOPOLY2016</t>
  </si>
  <si>
    <t>MONOPOLY2016F01</t>
  </si>
  <si>
    <t>0|1|工业用|不锈钢|锻轧</t>
  </si>
  <si>
    <t>铁</t>
  </si>
  <si>
    <t>1X80</t>
  </si>
  <si>
    <t>POSITIONING FIXTURE</t>
  </si>
  <si>
    <t>定位治具</t>
  </si>
  <si>
    <t>CUBE-ST2</t>
  </si>
  <si>
    <t>CUBE-ST2F01</t>
  </si>
  <si>
    <r>
      <rPr>
        <sz val="10"/>
        <color rgb="FF000000"/>
        <rFont val="Arial"/>
        <charset val="134"/>
      </rPr>
      <t>0|1|</t>
    </r>
    <r>
      <rPr>
        <sz val="10"/>
        <color rgb="FF000000"/>
        <rFont val="宋体"/>
        <charset val="134"/>
      </rPr>
      <t>生产组装用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无品牌</t>
    </r>
    <r>
      <rPr>
        <sz val="10"/>
        <color rgb="FF000000"/>
        <rFont val="Arial"/>
        <charset val="134"/>
      </rPr>
      <t>|CUBE-ST2</t>
    </r>
    <r>
      <rPr>
        <sz val="10"/>
        <color rgb="FF000000"/>
        <rFont val="宋体"/>
        <charset val="134"/>
      </rPr>
      <t>型</t>
    </r>
  </si>
  <si>
    <t>IRON</t>
  </si>
  <si>
    <t>2X1.5X1.5</t>
  </si>
  <si>
    <t>POWER BOX</t>
  </si>
  <si>
    <t>电源盒</t>
  </si>
  <si>
    <t>CUBE-ST2F02</t>
  </si>
  <si>
    <t>0|1|电子设备通用|交流稳压电源|30W|±1%~±5%|无品牌|CUBE-ST2型</t>
  </si>
  <si>
    <r>
      <rPr>
        <sz val="10"/>
        <color rgb="FF000000"/>
        <rFont val="宋体"/>
        <charset val="134"/>
      </rPr>
      <t>铁</t>
    </r>
    <r>
      <rPr>
        <sz val="10"/>
        <color rgb="FF000000"/>
        <rFont val="Arial"/>
        <charset val="134"/>
      </rPr>
      <t>+</t>
    </r>
    <r>
      <rPr>
        <sz val="10"/>
        <color rgb="FF000000"/>
        <rFont val="宋体"/>
        <charset val="134"/>
      </rPr>
      <t>电子元件</t>
    </r>
  </si>
  <si>
    <t>IRON+ELECTRONIC</t>
  </si>
  <si>
    <t>DC15V</t>
  </si>
  <si>
    <t>30W</t>
  </si>
  <si>
    <t>20X12X7.5</t>
  </si>
  <si>
    <t>TEST USE</t>
  </si>
  <si>
    <t>CONVERSION BOX</t>
  </si>
  <si>
    <t>转换盒</t>
  </si>
  <si>
    <t>KTN-MINI</t>
  </si>
  <si>
    <t>KTN-MINIF01</t>
  </si>
  <si>
    <r>
      <rPr>
        <sz val="10"/>
        <color rgb="FF000000"/>
        <rFont val="Arial"/>
        <charset val="134"/>
      </rPr>
      <t>0|1|</t>
    </r>
    <r>
      <rPr>
        <sz val="10"/>
        <color rgb="FF000000"/>
        <rFont val="宋体"/>
        <charset val="134"/>
      </rPr>
      <t>电子产品用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信号通道切换测试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未带记录装置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无品牌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KTN-MINI型</t>
    </r>
  </si>
  <si>
    <t>塑胶+电子元件</t>
  </si>
  <si>
    <t>PLC+ELECTRONIC</t>
  </si>
  <si>
    <t>DC12V</t>
  </si>
  <si>
    <t>10W</t>
  </si>
  <si>
    <t>20X17X8</t>
  </si>
  <si>
    <t>VE-500</t>
  </si>
  <si>
    <t>VE-500F01</t>
  </si>
  <si>
    <r>
      <rPr>
        <sz val="10"/>
        <color rgb="FF000000"/>
        <rFont val="Arial"/>
        <charset val="134"/>
      </rPr>
      <t>0|1|</t>
    </r>
    <r>
      <rPr>
        <sz val="10"/>
        <color rgb="FF000000"/>
        <rFont val="宋体"/>
        <charset val="134"/>
      </rPr>
      <t>电子产品用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信号通道切换测试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未带记录装置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无品牌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VE-500型</t>
    </r>
  </si>
  <si>
    <t>铁+电子元件</t>
  </si>
  <si>
    <t>DC9V</t>
  </si>
  <si>
    <t>18.5X16X9</t>
  </si>
  <si>
    <t>PCBA COPYING IC PROGRAM JIG</t>
  </si>
  <si>
    <t>PCBA抄IC程式测试架</t>
  </si>
  <si>
    <t>DB-90</t>
  </si>
  <si>
    <t>DB-90F01</t>
  </si>
  <si>
    <r>
      <rPr>
        <sz val="10"/>
        <color rgb="FF000000"/>
        <rFont val="Arial"/>
        <charset val="134"/>
      </rPr>
      <t>0|1|PCBA</t>
    </r>
    <r>
      <rPr>
        <sz val="10"/>
        <color rgb="FF000000"/>
        <rFont val="宋体"/>
        <charset val="134"/>
      </rPr>
      <t>测试架用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检测</t>
    </r>
    <r>
      <rPr>
        <sz val="10"/>
        <color rgb="FF000000"/>
        <rFont val="Arial"/>
        <charset val="134"/>
      </rPr>
      <t>PCBA</t>
    </r>
    <r>
      <rPr>
        <sz val="10"/>
        <color rgb="FF000000"/>
        <rFont val="宋体"/>
        <charset val="134"/>
      </rPr>
      <t>的质量和性能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未带记录装置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无品牌</t>
    </r>
    <r>
      <rPr>
        <sz val="10"/>
        <color rgb="FF000000"/>
        <rFont val="Arial"/>
        <charset val="134"/>
      </rPr>
      <t>|DB-90</t>
    </r>
    <r>
      <rPr>
        <sz val="10"/>
        <color rgb="FF000000"/>
        <rFont val="宋体"/>
        <charset val="134"/>
      </rPr>
      <t>型</t>
    </r>
  </si>
  <si>
    <t>电子元件</t>
  </si>
  <si>
    <t>ELECTRONIC</t>
  </si>
  <si>
    <t>200200X150</t>
  </si>
  <si>
    <t>BUTTON</t>
  </si>
  <si>
    <t>按钮</t>
  </si>
  <si>
    <t>CHINA AOMENG ELECTRIC GROUP CO.,LTD</t>
  </si>
  <si>
    <t>LA</t>
  </si>
  <si>
    <r>
      <rPr>
        <sz val="10"/>
        <color rgb="FF000000"/>
        <rFont val="Arial"/>
        <charset val="134"/>
      </rPr>
      <t>0|1|</t>
    </r>
    <r>
      <rPr>
        <sz val="10"/>
        <color rgb="FF000000"/>
        <rFont val="宋体"/>
        <charset val="134"/>
      </rPr>
      <t>测试用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未装有</t>
    </r>
    <r>
      <rPr>
        <sz val="10"/>
        <color rgb="FF000000"/>
        <rFont val="Arial"/>
        <charset val="134"/>
      </rPr>
      <t>8535</t>
    </r>
    <r>
      <rPr>
        <sz val="10"/>
        <color rgb="FF000000"/>
        <rFont val="宋体"/>
        <charset val="134"/>
      </rPr>
      <t>或</t>
    </r>
    <r>
      <rPr>
        <sz val="10"/>
        <color rgb="FF000000"/>
        <rFont val="Arial"/>
        <charset val="134"/>
      </rPr>
      <t>8536</t>
    </r>
    <r>
      <rPr>
        <sz val="10"/>
        <color rgb="FF000000"/>
        <rFont val="宋体"/>
        <charset val="134"/>
      </rPr>
      <t>所列装置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无品牌</t>
    </r>
    <r>
      <rPr>
        <sz val="10"/>
        <color rgb="FF000000"/>
        <rFont val="Arial"/>
        <charset val="134"/>
      </rPr>
      <t>|LA</t>
    </r>
    <r>
      <rPr>
        <sz val="10"/>
        <color rgb="FF000000"/>
        <rFont val="宋体"/>
        <charset val="134"/>
      </rPr>
      <t>型</t>
    </r>
  </si>
  <si>
    <t>塑胶+铁</t>
  </si>
  <si>
    <t>PLC+IRON</t>
  </si>
  <si>
    <t>4X2X2</t>
  </si>
  <si>
    <t>FOR REPAIR</t>
  </si>
  <si>
    <t>INSTALL THE LCD BOARD FIXTURE</t>
  </si>
  <si>
    <t>裝打LCD板治具</t>
  </si>
  <si>
    <t>MONOPOLY UR</t>
  </si>
  <si>
    <t>MONOUR-F01</t>
  </si>
  <si>
    <r>
      <rPr>
        <sz val="10"/>
        <color rgb="FF000000"/>
        <rFont val="Arial"/>
        <charset val="134"/>
      </rPr>
      <t>0|1|</t>
    </r>
    <r>
      <rPr>
        <sz val="10"/>
        <color rgb="FF000000"/>
        <rFont val="宋体"/>
        <charset val="134"/>
      </rPr>
      <t>生产组装用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无品牌</t>
    </r>
    <r>
      <rPr>
        <sz val="10"/>
        <color rgb="FF000000"/>
        <rFont val="Arial"/>
        <charset val="134"/>
      </rPr>
      <t>|MONOPOLY UR</t>
    </r>
    <r>
      <rPr>
        <sz val="10"/>
        <color rgb="FF000000"/>
        <rFont val="宋体"/>
        <charset val="134"/>
      </rPr>
      <t>型</t>
    </r>
  </si>
  <si>
    <t>电木</t>
  </si>
  <si>
    <t>A5</t>
  </si>
  <si>
    <t>58x40x33</t>
  </si>
  <si>
    <t>20x17x1</t>
  </si>
  <si>
    <t>PRODUCTION ASSEMBLE</t>
  </si>
  <si>
    <t>BEER NUT FIXTURE</t>
  </si>
  <si>
    <t>啤螺母治具</t>
  </si>
  <si>
    <t>MONOUR-F03</t>
  </si>
  <si>
    <t>15x12x1.5</t>
  </si>
  <si>
    <t>BATTERY CELLFIXTURE</t>
  </si>
  <si>
    <t>啤电池片治具</t>
  </si>
  <si>
    <t>MONOUR-F04</t>
  </si>
  <si>
    <t>16x8x13</t>
  </si>
  <si>
    <t>INSTALL THE REAR FRAME RUBBER PARTS AND SPEAKER COVERS, SOLDER THE BATTERY WIRES, AND ASSEMBLE THE PCB BOARDS</t>
  </si>
  <si>
    <t>焊电池线治具</t>
  </si>
  <si>
    <t>MONOUR-F06</t>
  </si>
  <si>
    <t>24.5x14.5x2</t>
  </si>
  <si>
    <t>SCREWDRIVER FIXTURE FOR THE MAIN UNIT</t>
  </si>
  <si>
    <t>主机打螺丝治具</t>
  </si>
  <si>
    <t>MONOUR-F09</t>
  </si>
  <si>
    <t>24.5x14.5x1</t>
  </si>
  <si>
    <t>TIGHTEN THE BATTERY DOOR SCREWS AND TIGHTEN THE DATE FIXTURE</t>
  </si>
  <si>
    <t>打电池门螺丝、打日期治具</t>
  </si>
  <si>
    <t>MONOUR-F10</t>
  </si>
  <si>
    <t>14.5x12x1</t>
  </si>
  <si>
    <t>WELDING HORN WIRE FIXTURE</t>
  </si>
  <si>
    <t>焊喇叭线治具</t>
  </si>
  <si>
    <t>MONOUR-F05</t>
  </si>
  <si>
    <t>24x8x3</t>
  </si>
  <si>
    <t>A SET OF RULES AND REGULATIONS</t>
  </si>
  <si>
    <t>通止规治具</t>
  </si>
  <si>
    <t>MONOUR-F011</t>
  </si>
  <si>
    <t>15x13x3</t>
  </si>
  <si>
    <t>BATTERY DOOR SCREW THRUST TEST FIXTURE</t>
  </si>
  <si>
    <t>电池门螺丝推力测试治具</t>
  </si>
  <si>
    <t>MONOUR-F12</t>
  </si>
  <si>
    <t>22x9x10</t>
  </si>
  <si>
    <t>MAINFRAME JIG TEST STAND FIXTURE</t>
  </si>
  <si>
    <t>主机JIG试架治具</t>
  </si>
  <si>
    <t>MONOUR-F</t>
  </si>
  <si>
    <t>A6,A7</t>
  </si>
  <si>
    <t>56x38x22</t>
  </si>
  <si>
    <t>25x20x21</t>
  </si>
  <si>
    <t>PCB JIG FIXTURE</t>
  </si>
  <si>
    <t>PCB JIG治具</t>
  </si>
  <si>
    <t>MONOUR-J01</t>
  </si>
  <si>
    <t>A8</t>
  </si>
  <si>
    <t>35x28x26</t>
  </si>
  <si>
    <t>GAME CARD FIXTURE</t>
  </si>
  <si>
    <t>游戏卡治具</t>
  </si>
  <si>
    <t>MONOPOLY</t>
  </si>
  <si>
    <t>765E89780000</t>
  </si>
  <si>
    <r>
      <rPr>
        <sz val="10"/>
        <color rgb="FF000000"/>
        <rFont val="Arial"/>
        <charset val="134"/>
      </rPr>
      <t>0|1|</t>
    </r>
    <r>
      <rPr>
        <sz val="10"/>
        <color rgb="FF000000"/>
        <rFont val="宋体"/>
        <charset val="134"/>
      </rPr>
      <t>生产组装用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无品牌</t>
    </r>
    <r>
      <rPr>
        <sz val="10"/>
        <color rgb="FF000000"/>
        <rFont val="Arial"/>
        <charset val="134"/>
      </rPr>
      <t>|MONOPOLY</t>
    </r>
    <r>
      <rPr>
        <sz val="10"/>
        <color rgb="FF000000"/>
        <rFont val="宋体"/>
        <charset val="134"/>
      </rPr>
      <t>型</t>
    </r>
  </si>
  <si>
    <t>PLC</t>
  </si>
  <si>
    <t>A9</t>
  </si>
  <si>
    <t>40x19x32</t>
  </si>
  <si>
    <t>9x55.5x0.4</t>
  </si>
  <si>
    <t>DEVIATION JAMMING FIXTURE</t>
  </si>
  <si>
    <t>偏差卡治具</t>
  </si>
  <si>
    <r>
      <rPr>
        <sz val="10"/>
        <rFont val="宋体"/>
        <charset val="134"/>
      </rPr>
      <t>765B66770000(正</t>
    </r>
    <r>
      <rPr>
        <sz val="10"/>
        <rFont val="Arial"/>
        <charset val="134"/>
      </rPr>
      <t>1mm)</t>
    </r>
  </si>
  <si>
    <t>A11</t>
  </si>
  <si>
    <t>32x24x23</t>
  </si>
  <si>
    <r>
      <rPr>
        <sz val="10"/>
        <rFont val="宋体"/>
        <charset val="134"/>
      </rPr>
      <t>765B66770000(负</t>
    </r>
    <r>
      <rPr>
        <sz val="10"/>
        <rFont val="Arial"/>
        <charset val="134"/>
      </rPr>
      <t>1mm)</t>
    </r>
  </si>
  <si>
    <t>765B66770000</t>
  </si>
  <si>
    <t>ASSEMBLE THE RUBBER FIXTURE</t>
  </si>
  <si>
    <t>组装胶件治具</t>
  </si>
  <si>
    <t>TILO</t>
  </si>
  <si>
    <t>TILO F01</t>
  </si>
  <si>
    <r>
      <rPr>
        <sz val="10"/>
        <color rgb="FF000000"/>
        <rFont val="Arial"/>
        <charset val="134"/>
      </rPr>
      <t>0|1|</t>
    </r>
    <r>
      <rPr>
        <sz val="10"/>
        <color rgb="FF000000"/>
        <rFont val="宋体"/>
        <charset val="134"/>
      </rPr>
      <t>生产组装用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无品牌</t>
    </r>
    <r>
      <rPr>
        <sz val="10"/>
        <color rgb="FF000000"/>
        <rFont val="Arial"/>
        <charset val="134"/>
      </rPr>
      <t>|TILO</t>
    </r>
    <r>
      <rPr>
        <sz val="10"/>
        <color rgb="FF000000"/>
        <rFont val="宋体"/>
        <charset val="134"/>
      </rPr>
      <t>型</t>
    </r>
  </si>
  <si>
    <t>A12</t>
  </si>
  <si>
    <t>40x27x36</t>
  </si>
  <si>
    <t>10x7x2</t>
  </si>
  <si>
    <t>THE RUBBER LOADING PARTS ARE PLACED INTO THE RUBBER BAG FIXTURE</t>
  </si>
  <si>
    <t>装胶件入胶袋治具</t>
  </si>
  <si>
    <t>TILO F04</t>
  </si>
  <si>
    <t>18x26x17</t>
  </si>
  <si>
    <t>THE BASE IS EQUIPPED WITH A DATE FIXTURE</t>
  </si>
  <si>
    <t>底座打日期治具</t>
  </si>
  <si>
    <t>TILO F05</t>
  </si>
  <si>
    <t>22x14x5</t>
  </si>
  <si>
    <t>GENERAL RULES AND FIXTURES</t>
  </si>
  <si>
    <t>通规治具</t>
  </si>
  <si>
    <t>TILO F02</t>
  </si>
  <si>
    <t>30x25x26</t>
  </si>
  <si>
    <t>TILO F07</t>
  </si>
  <si>
    <t>15x55x23</t>
  </si>
  <si>
    <t>ULTRASONIC MACHINE</t>
  </si>
  <si>
    <t>超声波塑焊机</t>
  </si>
  <si>
    <t>SHENZHEN BINE SHUN ULTRASONIC EQUIPMENT CO., LTD</t>
  </si>
  <si>
    <t>BNS-1542</t>
  </si>
  <si>
    <t>BNS20260727501</t>
  </si>
  <si>
    <r>
      <rPr>
        <sz val="10"/>
        <color rgb="FF000000"/>
        <rFont val="Arial"/>
        <charset val="134"/>
      </rPr>
      <t>3|1|</t>
    </r>
    <r>
      <rPr>
        <sz val="10"/>
        <color rgb="FF000000"/>
        <rFont val="宋体"/>
        <charset val="134"/>
      </rPr>
      <t>将热塑性塑料对接粘接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超声波压制成型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必能顺牌</t>
    </r>
    <r>
      <rPr>
        <sz val="10"/>
        <color rgb="FF000000"/>
        <rFont val="Arial"/>
        <charset val="134"/>
      </rPr>
      <t>|BNS-1542</t>
    </r>
    <r>
      <rPr>
        <sz val="10"/>
        <color rgb="FF000000"/>
        <rFont val="宋体"/>
        <charset val="134"/>
      </rPr>
      <t>型</t>
    </r>
  </si>
  <si>
    <t>4200W</t>
  </si>
  <si>
    <t>2026.7</t>
  </si>
  <si>
    <t>A1</t>
  </si>
  <si>
    <t>100*100*240</t>
  </si>
  <si>
    <t>80*850x225</t>
  </si>
  <si>
    <t>ULTRASONIC MOLD</t>
  </si>
  <si>
    <t>超声波模具</t>
  </si>
  <si>
    <t>G5176</t>
  </si>
  <si>
    <r>
      <rPr>
        <sz val="10"/>
        <color rgb="FF000000"/>
        <rFont val="Arial"/>
        <charset val="134"/>
      </rPr>
      <t>3|1|</t>
    </r>
    <r>
      <rPr>
        <sz val="10"/>
        <color rgb="FF000000"/>
        <rFont val="宋体"/>
        <charset val="134"/>
      </rPr>
      <t>熔接塑胶件用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塑胶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必能顺牌</t>
    </r>
    <r>
      <rPr>
        <sz val="10"/>
        <color rgb="FF000000"/>
        <rFont val="Arial"/>
        <charset val="134"/>
      </rPr>
      <t>|TILO</t>
    </r>
    <r>
      <rPr>
        <sz val="10"/>
        <color rgb="FF000000"/>
        <rFont val="宋体"/>
        <charset val="134"/>
      </rPr>
      <t>型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铝合金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通过震动发热让塑胶件熔接</t>
    </r>
  </si>
  <si>
    <t>铝</t>
  </si>
  <si>
    <t>AL</t>
  </si>
  <si>
    <t>17*15x21</t>
  </si>
  <si>
    <t>HEAVY-DUTY NEEDLE SUPPORT</t>
  </si>
  <si>
    <t>胶钉机零件</t>
  </si>
  <si>
    <t>AVERY (GUANGZHOU) PACKAGING SYSTEM PRODUCTS CO., LTD</t>
  </si>
  <si>
    <t>11609-0</t>
  </si>
  <si>
    <r>
      <rPr>
        <sz val="10"/>
        <color rgb="FF000000"/>
        <rFont val="Arial"/>
        <charset val="134"/>
      </rPr>
      <t>3|1|</t>
    </r>
    <r>
      <rPr>
        <sz val="10"/>
        <color rgb="FF000000"/>
        <rFont val="宋体"/>
        <charset val="134"/>
      </rPr>
      <t>将弹性胶钉固定于产品与纸卡，实现运输保护和展示</t>
    </r>
    <r>
      <rPr>
        <sz val="10"/>
        <color rgb="FF000000"/>
        <rFont val="Arial"/>
        <charset val="134"/>
      </rPr>
      <t>|AVERY DENNISO</t>
    </r>
    <r>
      <rPr>
        <sz val="10"/>
        <color rgb="FF000000"/>
        <rFont val="宋体"/>
        <charset val="134"/>
      </rPr>
      <t>牌</t>
    </r>
    <r>
      <rPr>
        <sz val="10"/>
        <color rgb="FF000000"/>
        <rFont val="Arial"/>
        <charset val="134"/>
      </rPr>
      <t>|11609-0</t>
    </r>
    <r>
      <rPr>
        <sz val="10"/>
        <color rgb="FF000000"/>
        <rFont val="宋体"/>
        <charset val="134"/>
      </rPr>
      <t>型</t>
    </r>
  </si>
  <si>
    <t>钢</t>
  </si>
  <si>
    <t>10x0.39</t>
  </si>
  <si>
    <t>CONICAL NEEDLE SUPPORT</t>
  </si>
  <si>
    <t>11619-0</t>
  </si>
  <si>
    <r>
      <rPr>
        <sz val="10"/>
        <color rgb="FF000000"/>
        <rFont val="Arial"/>
        <charset val="134"/>
      </rPr>
      <t>3|1|</t>
    </r>
    <r>
      <rPr>
        <sz val="10"/>
        <color rgb="FF000000"/>
        <rFont val="宋体"/>
        <charset val="134"/>
      </rPr>
      <t>将弹性胶钉固定于产品与纸卡，实现运输保护和展示</t>
    </r>
    <r>
      <rPr>
        <sz val="10"/>
        <color rgb="FF000000"/>
        <rFont val="Arial"/>
        <charset val="134"/>
      </rPr>
      <t>|AVERY DENNISO</t>
    </r>
    <r>
      <rPr>
        <sz val="10"/>
        <color rgb="FF000000"/>
        <rFont val="宋体"/>
        <charset val="134"/>
      </rPr>
      <t>牌</t>
    </r>
    <r>
      <rPr>
        <sz val="10"/>
        <color rgb="FF000000"/>
        <rFont val="Arial"/>
        <charset val="134"/>
      </rPr>
      <t>|11619-0</t>
    </r>
    <r>
      <rPr>
        <sz val="10"/>
        <color rgb="FF000000"/>
        <rFont val="宋体"/>
        <charset val="134"/>
      </rPr>
      <t>型</t>
    </r>
  </si>
  <si>
    <t>RIGHT BLADE</t>
  </si>
  <si>
    <t>3-09-0023-01</t>
  </si>
  <si>
    <r>
      <rPr>
        <sz val="10"/>
        <color rgb="FF000000"/>
        <rFont val="Arial"/>
        <charset val="134"/>
      </rPr>
      <t>3|1|</t>
    </r>
    <r>
      <rPr>
        <sz val="10"/>
        <color rgb="FF000000"/>
        <rFont val="宋体"/>
        <charset val="134"/>
      </rPr>
      <t>将弹性胶钉固定于产品与纸卡，实现运输保护和展示</t>
    </r>
    <r>
      <rPr>
        <sz val="10"/>
        <color rgb="FF000000"/>
        <rFont val="Arial"/>
        <charset val="134"/>
      </rPr>
      <t>|AVERY DENNISO</t>
    </r>
    <r>
      <rPr>
        <sz val="10"/>
        <color rgb="FF000000"/>
        <rFont val="宋体"/>
        <charset val="134"/>
      </rPr>
      <t>牌</t>
    </r>
    <r>
      <rPr>
        <sz val="10"/>
        <color rgb="FF000000"/>
        <rFont val="Arial"/>
        <charset val="134"/>
      </rPr>
      <t>|3-09-0023-01</t>
    </r>
    <r>
      <rPr>
        <sz val="10"/>
        <color rgb="FF000000"/>
        <rFont val="宋体"/>
        <charset val="134"/>
      </rPr>
      <t>型</t>
    </r>
  </si>
  <si>
    <t>0.24x0.69x0.5</t>
  </si>
  <si>
    <t>LEFT BLADE</t>
  </si>
  <si>
    <t>3-09-0023-02</t>
  </si>
  <si>
    <r>
      <rPr>
        <sz val="10"/>
        <color rgb="FF000000"/>
        <rFont val="Arial"/>
        <charset val="134"/>
      </rPr>
      <t>3|1|</t>
    </r>
    <r>
      <rPr>
        <sz val="10"/>
        <color rgb="FF000000"/>
        <rFont val="宋体"/>
        <charset val="134"/>
      </rPr>
      <t>将弹性胶钉固定于产品与纸卡，实现运输保护和展示</t>
    </r>
    <r>
      <rPr>
        <sz val="10"/>
        <color rgb="FF000000"/>
        <rFont val="Arial"/>
        <charset val="134"/>
      </rPr>
      <t>|AVERY DENNISO</t>
    </r>
    <r>
      <rPr>
        <sz val="10"/>
        <color rgb="FF000000"/>
        <rFont val="宋体"/>
        <charset val="134"/>
      </rPr>
      <t>牌</t>
    </r>
    <r>
      <rPr>
        <sz val="10"/>
        <color rgb="FF000000"/>
        <rFont val="Arial"/>
        <charset val="134"/>
      </rPr>
      <t>|3-09-0023-02</t>
    </r>
    <r>
      <rPr>
        <sz val="10"/>
        <color rgb="FF000000"/>
        <rFont val="宋体"/>
        <charset val="134"/>
      </rPr>
      <t>型</t>
    </r>
  </si>
  <si>
    <t>EJECTOR PIN</t>
  </si>
  <si>
    <t>3-09-0056-01</t>
  </si>
  <si>
    <r>
      <rPr>
        <sz val="10"/>
        <color rgb="FF000000"/>
        <rFont val="Arial"/>
        <charset val="134"/>
      </rPr>
      <t>3|1|</t>
    </r>
    <r>
      <rPr>
        <sz val="10"/>
        <color rgb="FF000000"/>
        <rFont val="宋体"/>
        <charset val="134"/>
      </rPr>
      <t>将弹性胶钉固定于产品与纸卡，实现运输保护和展示</t>
    </r>
    <r>
      <rPr>
        <sz val="10"/>
        <color rgb="FF000000"/>
        <rFont val="Arial"/>
        <charset val="134"/>
      </rPr>
      <t>|AVERY DENNISO</t>
    </r>
    <r>
      <rPr>
        <sz val="10"/>
        <color rgb="FF000000"/>
        <rFont val="宋体"/>
        <charset val="134"/>
      </rPr>
      <t>牌</t>
    </r>
    <r>
      <rPr>
        <sz val="10"/>
        <color rgb="FF000000"/>
        <rFont val="Arial"/>
        <charset val="134"/>
      </rPr>
      <t>|3-09-0056-01</t>
    </r>
    <r>
      <rPr>
        <sz val="10"/>
        <color rgb="FF000000"/>
        <rFont val="宋体"/>
        <charset val="134"/>
      </rPr>
      <t>型</t>
    </r>
  </si>
  <si>
    <t>15x0.13</t>
  </si>
  <si>
    <t>PRECISION ELECTRONIC TEMPERATURE REGULATING WELDING TABLE</t>
  </si>
  <si>
    <t>精密电子调温焊台</t>
  </si>
  <si>
    <t>GREAT WALL ELECTRONIC TECHNOLOGY CO., LTD</t>
  </si>
  <si>
    <t>HAKD936</t>
  </si>
  <si>
    <t>0|1|发热芯电能转化为热能传导给金属烙铁头完成焊接|非印刷电路组件|焊接过程中未使用钎料|无品牌|HAKD936型</t>
  </si>
  <si>
    <t>电子元件+铁</t>
  </si>
  <si>
    <t>60W</t>
  </si>
  <si>
    <t>A2/A3</t>
  </si>
  <si>
    <t>60X50X25</t>
  </si>
  <si>
    <t>23X22X11.5</t>
  </si>
  <si>
    <t>TOOLING</t>
  </si>
  <si>
    <t>SEMI AUTOMATIC DISPENSING MACHINE</t>
  </si>
  <si>
    <t>半自动滴胶机</t>
  </si>
  <si>
    <t>YI.DE.LONG CO.,Ltd</t>
  </si>
  <si>
    <t>0|1|胶水涂布、封胶、填充作业用|调压阀稳定输入气压，抵消气源波动带来的出胶偏差|无品牌|982型</t>
  </si>
  <si>
    <t>AC220V</t>
  </si>
  <si>
    <t>20W</t>
  </si>
  <si>
    <t>A4</t>
  </si>
  <si>
    <t>26.5X21.5X15</t>
  </si>
  <si>
    <t>ELECTRONIC ALARM BALANCE</t>
  </si>
  <si>
    <t>电子报警天平</t>
  </si>
  <si>
    <t>YUEDI ELECTRONIC BALANCE CO.LTD</t>
  </si>
  <si>
    <t>BL-(X)</t>
  </si>
  <si>
    <t>0|1|电子产品零件称重|电子式称重|0.01G|无品牌|BL-(X)型</t>
  </si>
  <si>
    <t>DC3V</t>
  </si>
  <si>
    <t>0.5W</t>
  </si>
  <si>
    <t>25X16.5X7</t>
  </si>
  <si>
    <t>SHARP BLADE</t>
  </si>
  <si>
    <t>批锋刀片</t>
  </si>
  <si>
    <t>NOVEL DISPLAY PRODUCTS FACTORY</t>
  </si>
  <si>
    <t>0|1|塑胶件批水口用|不锈钢制|无品牌|无型号</t>
  </si>
  <si>
    <t>14X2X1</t>
  </si>
  <si>
    <t>HIGH FREQUENCY SOLDERING IRON HANDLE</t>
  </si>
  <si>
    <t>高频烙铁手柄</t>
  </si>
  <si>
    <t>HAKD EXCLUSIVE SHOP</t>
  </si>
  <si>
    <t>203H</t>
  </si>
  <si>
    <r>
      <rPr>
        <sz val="10"/>
        <color rgb="FF000000"/>
        <rFont val="Arial"/>
        <charset val="134"/>
      </rPr>
      <t>0|1|</t>
    </r>
    <r>
      <rPr>
        <sz val="10"/>
        <color rgb="FF000000"/>
        <rFont val="宋体"/>
        <charset val="134"/>
      </rPr>
      <t>电子焊接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未使用钎料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无品牌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203H型</t>
    </r>
  </si>
  <si>
    <t>2026.07.28</t>
  </si>
  <si>
    <t>25X4</t>
  </si>
  <si>
    <t>ELECTRIC SCREWDRIVER ROTOR</t>
  </si>
  <si>
    <t>电动螺丝刀转子</t>
  </si>
  <si>
    <t>JOHNSON ELECTRIC CO.,Ltd</t>
  </si>
  <si>
    <t>V-65660</t>
  </si>
  <si>
    <r>
      <rPr>
        <sz val="10"/>
        <color rgb="FF000000"/>
        <rFont val="Arial"/>
        <charset val="134"/>
      </rPr>
      <t>0|1|</t>
    </r>
    <r>
      <rPr>
        <sz val="10"/>
        <color rgb="FF000000"/>
        <rFont val="宋体"/>
        <charset val="134"/>
      </rPr>
      <t>电动螺丝刀用</t>
    </r>
    <r>
      <rPr>
        <sz val="10"/>
        <color rgb="FF000000"/>
        <rFont val="Arial"/>
        <charset val="134"/>
      </rPr>
      <t>220V|</t>
    </r>
    <r>
      <rPr>
        <sz val="10"/>
        <color rgb="FF000000"/>
        <rFont val="宋体"/>
        <charset val="134"/>
      </rPr>
      <t>无品牌</t>
    </r>
    <r>
      <rPr>
        <sz val="10"/>
        <color rgb="FF000000"/>
        <rFont val="Arial"/>
        <charset val="134"/>
      </rPr>
      <t>|V-65660</t>
    </r>
    <r>
      <rPr>
        <sz val="10"/>
        <color rgb="FF000000"/>
        <rFont val="宋体"/>
        <charset val="134"/>
      </rPr>
      <t>型</t>
    </r>
  </si>
  <si>
    <t>DC24V</t>
  </si>
  <si>
    <t>8X4</t>
  </si>
  <si>
    <t>IC PROGAMING SOCKET</t>
  </si>
  <si>
    <t>烧录座</t>
  </si>
  <si>
    <t>HILO CO., LTD</t>
  </si>
  <si>
    <t>HD-SEEP-S08</t>
  </si>
  <si>
    <r>
      <rPr>
        <sz val="10"/>
        <color rgb="FF000000"/>
        <rFont val="Arial"/>
        <charset val="134"/>
      </rPr>
      <t>0|1|IC</t>
    </r>
    <r>
      <rPr>
        <sz val="10"/>
        <color rgb="FF000000"/>
        <rFont val="宋体"/>
        <charset val="134"/>
      </rPr>
      <t>烧录用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无品牌</t>
    </r>
    <r>
      <rPr>
        <sz val="10"/>
        <color rgb="FF000000"/>
        <rFont val="Arial"/>
        <charset val="134"/>
      </rPr>
      <t>|HD-SEEP-S08</t>
    </r>
    <r>
      <rPr>
        <sz val="10"/>
        <color rgb="FF000000"/>
        <rFont val="宋体"/>
        <charset val="134"/>
      </rPr>
      <t>型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非内存条</t>
    </r>
  </si>
  <si>
    <t>9.5X3.5X3</t>
  </si>
  <si>
    <t>HD-S29GLXXX-BG64C</t>
  </si>
  <si>
    <r>
      <rPr>
        <sz val="10"/>
        <color rgb="FF000000"/>
        <rFont val="Arial"/>
        <charset val="134"/>
      </rPr>
      <t>0|1|IC</t>
    </r>
    <r>
      <rPr>
        <sz val="10"/>
        <color rgb="FF000000"/>
        <rFont val="宋体"/>
        <charset val="134"/>
      </rPr>
      <t>烧录用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无品牌</t>
    </r>
    <r>
      <rPr>
        <sz val="10"/>
        <color rgb="FF000000"/>
        <rFont val="Arial"/>
        <charset val="134"/>
      </rPr>
      <t>|HD-S29GLXXX-BG64C</t>
    </r>
    <r>
      <rPr>
        <sz val="10"/>
        <color rgb="FF000000"/>
        <rFont val="宋体"/>
        <charset val="134"/>
      </rPr>
      <t>型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非内存条</t>
    </r>
  </si>
  <si>
    <t>ROBOT ARM</t>
  </si>
  <si>
    <t>模具机械手治具</t>
  </si>
  <si>
    <t>001-26005-01A-01</t>
  </si>
  <si>
    <r>
      <rPr>
        <sz val="10"/>
        <color rgb="FF000000"/>
        <rFont val="Arial"/>
        <charset val="134"/>
      </rPr>
      <t>0|1|</t>
    </r>
    <r>
      <rPr>
        <sz val="10"/>
        <color rgb="FF000000"/>
        <rFont val="宋体"/>
        <charset val="134"/>
      </rPr>
      <t>啤塑机辅助用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无品牌</t>
    </r>
    <r>
      <rPr>
        <sz val="10"/>
        <color rgb="FF000000"/>
        <rFont val="Arial"/>
        <charset val="134"/>
      </rPr>
      <t>|001-26005-01A-01</t>
    </r>
    <r>
      <rPr>
        <sz val="10"/>
        <color rgb="FF000000"/>
        <rFont val="宋体"/>
        <charset val="134"/>
      </rPr>
      <t>型</t>
    </r>
  </si>
  <si>
    <t>PLASTIC＋HARDWARE</t>
  </si>
  <si>
    <t>2026-07</t>
  </si>
  <si>
    <t>PLC01</t>
  </si>
  <si>
    <t>30*30*23</t>
  </si>
  <si>
    <t>23*11*6</t>
  </si>
  <si>
    <t>TOOLING INJECTION</t>
  </si>
  <si>
    <t>001-26005-02A-01</t>
  </si>
  <si>
    <r>
      <rPr>
        <sz val="10"/>
        <color rgb="FF000000"/>
        <rFont val="Arial"/>
        <charset val="134"/>
      </rPr>
      <t>0|1|</t>
    </r>
    <r>
      <rPr>
        <sz val="10"/>
        <color rgb="FF000000"/>
        <rFont val="宋体"/>
        <charset val="134"/>
      </rPr>
      <t>啤塑机辅助用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无品牌</t>
    </r>
    <r>
      <rPr>
        <sz val="10"/>
        <color rgb="FF000000"/>
        <rFont val="Arial"/>
        <charset val="134"/>
      </rPr>
      <t>|001-26005-02A-01</t>
    </r>
    <r>
      <rPr>
        <sz val="10"/>
        <color rgb="FF000000"/>
        <rFont val="宋体"/>
        <charset val="134"/>
      </rPr>
      <t>型</t>
    </r>
  </si>
  <si>
    <t>28*24*10</t>
  </si>
  <si>
    <t>001-26005-03A-01</t>
  </si>
  <si>
    <r>
      <rPr>
        <sz val="10"/>
        <color rgb="FF000000"/>
        <rFont val="Arial"/>
        <charset val="134"/>
      </rPr>
      <t>0|1|</t>
    </r>
    <r>
      <rPr>
        <sz val="10"/>
        <color rgb="FF000000"/>
        <rFont val="宋体"/>
        <charset val="134"/>
      </rPr>
      <t>啤塑机辅助用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无品牌</t>
    </r>
    <r>
      <rPr>
        <sz val="10"/>
        <color rgb="FF000000"/>
        <rFont val="Arial"/>
        <charset val="134"/>
      </rPr>
      <t>|001-26005-03A-01</t>
    </r>
    <r>
      <rPr>
        <sz val="10"/>
        <color rgb="FF000000"/>
        <rFont val="宋体"/>
        <charset val="134"/>
      </rPr>
      <t>型</t>
    </r>
  </si>
  <si>
    <t>31*26*13</t>
  </si>
  <si>
    <t>MINI PC</t>
  </si>
  <si>
    <t>微型电脑主机</t>
  </si>
  <si>
    <t>SHENZHEN WIN ELEMENT TECHNOLOGY CO., LTD</t>
  </si>
  <si>
    <t>M9</t>
  </si>
  <si>
    <t>MFINXB9XV251100102/MFINXB9XV251100095/MFINXB9XV251100034</t>
  </si>
  <si>
    <r>
      <rPr>
        <sz val="10"/>
        <color rgb="FF000000"/>
        <rFont val="Arial"/>
        <charset val="134"/>
      </rPr>
      <t>3|1|</t>
    </r>
    <r>
      <rPr>
        <sz val="10"/>
        <color rgb="FF000000"/>
        <rFont val="宋体"/>
        <charset val="134"/>
      </rPr>
      <t>迷你机型</t>
    </r>
    <r>
      <rPr>
        <sz val="10"/>
        <color rgb="FF000000"/>
        <rFont val="Arial"/>
        <charset val="134"/>
      </rPr>
      <t>|</t>
    </r>
    <r>
      <rPr>
        <sz val="10"/>
        <color rgb="FF000000"/>
        <rFont val="宋体"/>
        <charset val="134"/>
      </rPr>
      <t>硬盘容量</t>
    </r>
    <r>
      <rPr>
        <sz val="10"/>
        <color rgb="FF000000"/>
        <rFont val="Arial"/>
        <charset val="134"/>
      </rPr>
      <t>2TB;</t>
    </r>
    <r>
      <rPr>
        <sz val="10"/>
        <color rgb="FF000000"/>
        <rFont val="宋体"/>
        <charset val="134"/>
      </rPr>
      <t>内存</t>
    </r>
    <r>
      <rPr>
        <sz val="10"/>
        <color rgb="FF000000"/>
        <rFont val="Arial"/>
        <charset val="134"/>
      </rPr>
      <t>32GB;</t>
    </r>
    <r>
      <rPr>
        <sz val="10"/>
        <color rgb="FF000000"/>
        <rFont val="宋体"/>
        <charset val="134"/>
      </rPr>
      <t>内存类型</t>
    </r>
    <r>
      <rPr>
        <sz val="10"/>
        <color rgb="FF000000"/>
        <rFont val="Arial"/>
        <charset val="134"/>
      </rPr>
      <t>DDR4;</t>
    </r>
    <r>
      <rPr>
        <sz val="10"/>
        <color rgb="FF000000"/>
        <rFont val="宋体"/>
        <charset val="134"/>
      </rPr>
      <t>电源额定功率</t>
    </r>
    <r>
      <rPr>
        <sz val="10"/>
        <color rgb="FF000000"/>
        <rFont val="Arial"/>
        <charset val="134"/>
      </rPr>
      <t>36W|</t>
    </r>
    <r>
      <rPr>
        <sz val="10"/>
        <color rgb="FF000000"/>
        <rFont val="宋体"/>
        <charset val="134"/>
      </rPr>
      <t>以系统形式报验</t>
    </r>
    <r>
      <rPr>
        <sz val="10"/>
        <color rgb="FF000000"/>
        <rFont val="Arial"/>
        <charset val="134"/>
      </rPr>
      <t>|MoreFine</t>
    </r>
    <r>
      <rPr>
        <sz val="10"/>
        <color rgb="FF000000"/>
        <rFont val="宋体"/>
        <charset val="134"/>
      </rPr>
      <t>牌</t>
    </r>
    <r>
      <rPr>
        <sz val="10"/>
        <color rgb="FF000000"/>
        <rFont val="Arial"/>
        <charset val="134"/>
      </rPr>
      <t>|M9</t>
    </r>
    <r>
      <rPr>
        <sz val="10"/>
        <color rgb="FF000000"/>
        <rFont val="宋体"/>
        <charset val="134"/>
      </rPr>
      <t>型</t>
    </r>
    <r>
      <rPr>
        <sz val="10"/>
        <color rgb="FF000000"/>
        <rFont val="Arial"/>
        <charset val="134"/>
      </rPr>
      <t>|Windows11</t>
    </r>
    <r>
      <rPr>
        <sz val="10"/>
        <color rgb="FF000000"/>
        <rFont val="宋体"/>
        <charset val="134"/>
      </rPr>
      <t>操作系统</t>
    </r>
  </si>
  <si>
    <t>AL+ELECTRONIC</t>
  </si>
  <si>
    <t>12V</t>
  </si>
  <si>
    <t>3A</t>
  </si>
  <si>
    <t>2026</t>
  </si>
  <si>
    <t>M4</t>
  </si>
  <si>
    <t>25*40*21</t>
  </si>
  <si>
    <t>14*14*10</t>
  </si>
  <si>
    <t>To maintain the MIS spare stock</t>
  </si>
  <si>
    <t>YES</t>
  </si>
</sst>
</file>

<file path=xl/styles.xml><?xml version="1.0" encoding="utf-8"?>
<styleSheet xmlns="http://schemas.openxmlformats.org/spreadsheetml/2006/main">
  <numFmts count="8">
    <numFmt numFmtId="176" formatCode="0.0000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7" formatCode="0.00_ "/>
    <numFmt numFmtId="178" formatCode="0_ "/>
    <numFmt numFmtId="179" formatCode="yyyy/m/d;@"/>
  </numFmts>
  <fonts count="42">
    <font>
      <sz val="11"/>
      <color theme="1"/>
      <name val="宋体"/>
      <charset val="134"/>
      <scheme val="minor"/>
    </font>
    <font>
      <sz val="12"/>
      <color theme="1"/>
      <name val="Arial"/>
      <charset val="134"/>
    </font>
    <font>
      <strike/>
      <sz val="10"/>
      <name val="Arial"/>
      <charset val="134"/>
    </font>
    <font>
      <sz val="10"/>
      <name val="Arial"/>
      <charset val="134"/>
    </font>
    <font>
      <b/>
      <sz val="12"/>
      <color rgb="FF000000"/>
      <name val="Arial"/>
      <charset val="134"/>
    </font>
    <font>
      <strike/>
      <sz val="10"/>
      <name val="新宋体"/>
      <charset val="134"/>
    </font>
    <font>
      <strike/>
      <sz val="10"/>
      <name val="宋体"/>
      <charset val="134"/>
    </font>
    <font>
      <sz val="10"/>
      <name val="新宋体"/>
      <charset val="134"/>
    </font>
    <font>
      <sz val="10"/>
      <name val="宋体"/>
      <charset val="134"/>
    </font>
    <font>
      <sz val="10"/>
      <color rgb="FF000000"/>
      <name val="Arial"/>
      <charset val="134"/>
    </font>
    <font>
      <strike/>
      <sz val="10"/>
      <color rgb="FF000000"/>
      <name val="Arial"/>
      <charset val="134"/>
    </font>
    <font>
      <sz val="10"/>
      <color rgb="FF000000"/>
      <name val="宋体"/>
      <charset val="134"/>
    </font>
    <font>
      <strike/>
      <sz val="10"/>
      <name val="Arial"/>
      <charset val="0"/>
    </font>
    <font>
      <sz val="10"/>
      <name val="Arial"/>
      <charset val="0"/>
    </font>
    <font>
      <b/>
      <sz val="12"/>
      <color rgb="FFFF0000"/>
      <name val="Arial"/>
      <charset val="134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2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0"/>
      <name val="Arial"/>
      <charset val="1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2"/>
      <color rgb="FF000000"/>
      <name val="楷体"/>
      <charset val="134"/>
    </font>
    <font>
      <b/>
      <sz val="12"/>
      <color rgb="FF000000"/>
      <name val="宋体"/>
      <charset val="134"/>
    </font>
    <font>
      <b/>
      <sz val="12"/>
      <color rgb="FFFF0000"/>
      <name val="楷体"/>
      <charset val="134"/>
    </font>
    <font>
      <strike/>
      <sz val="10"/>
      <color rgb="FF000000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2">
    <xf numFmtId="0" fontId="0" fillId="0" borderId="0">
      <alignment vertical="center"/>
    </xf>
    <xf numFmtId="42" fontId="19" fillId="0" borderId="0" applyFont="0" applyFill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27" fillId="13" borderId="10" applyNumberFormat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8" borderId="11" applyNumberFormat="0" applyFont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8" borderId="8" applyNumberFormat="0" applyAlignment="0" applyProtection="0">
      <alignment vertical="center"/>
    </xf>
    <xf numFmtId="0" fontId="33" fillId="8" borderId="10" applyNumberFormat="0" applyAlignment="0" applyProtection="0">
      <alignment vertical="center"/>
    </xf>
    <xf numFmtId="0" fontId="28" fillId="19" borderId="12" applyNumberFormat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9" fillId="0" borderId="0"/>
    <xf numFmtId="0" fontId="0" fillId="0" borderId="0">
      <alignment vertical="center"/>
    </xf>
    <xf numFmtId="0" fontId="0" fillId="0" borderId="0">
      <alignment vertical="center"/>
    </xf>
  </cellStyleXfs>
  <cellXfs count="6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49" fontId="3" fillId="0" borderId="0" xfId="0" applyNumberFormat="1" applyFont="1" applyFill="1" applyAlignment="1">
      <alignment horizontal="left" vertical="center"/>
    </xf>
    <xf numFmtId="176" fontId="3" fillId="0" borderId="0" xfId="0" applyNumberFormat="1" applyFont="1" applyFill="1" applyAlignment="1">
      <alignment horizontal="left" vertical="center"/>
    </xf>
    <xf numFmtId="177" fontId="3" fillId="0" borderId="0" xfId="0" applyNumberFormat="1" applyFont="1" applyFill="1" applyAlignment="1">
      <alignment horizontal="left" vertical="center"/>
    </xf>
    <xf numFmtId="177" fontId="3" fillId="0" borderId="0" xfId="0" applyNumberFormat="1" applyFont="1" applyFill="1" applyAlignment="1">
      <alignment horizontal="center" vertical="center"/>
    </xf>
    <xf numFmtId="178" fontId="4" fillId="0" borderId="1" xfId="0" applyNumberFormat="1" applyFont="1" applyFill="1" applyBorder="1" applyAlignment="1">
      <alignment horizontal="left" vertical="center" wrapText="1"/>
    </xf>
    <xf numFmtId="178" fontId="4" fillId="0" borderId="1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left" vertical="center" wrapText="1"/>
    </xf>
    <xf numFmtId="0" fontId="5" fillId="2" borderId="1" xfId="0" applyNumberFormat="1" applyFont="1" applyFill="1" applyBorder="1" applyAlignment="1">
      <alignment horizontal="left" vertical="center" wrapText="1"/>
    </xf>
    <xf numFmtId="178" fontId="2" fillId="2" borderId="1" xfId="0" applyNumberFormat="1" applyFont="1" applyFill="1" applyBorder="1" applyAlignment="1">
      <alignment horizontal="left" vertical="center" wrapText="1"/>
    </xf>
    <xf numFmtId="178" fontId="6" fillId="2" borderId="1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horizontal="left" vertical="center" wrapText="1"/>
    </xf>
    <xf numFmtId="0" fontId="7" fillId="0" borderId="1" xfId="0" applyNumberFormat="1" applyFont="1" applyFill="1" applyBorder="1" applyAlignment="1">
      <alignment horizontal="left" vertical="center" wrapText="1"/>
    </xf>
    <xf numFmtId="178" fontId="3" fillId="0" borderId="1" xfId="0" applyNumberFormat="1" applyFont="1" applyFill="1" applyBorder="1" applyAlignment="1">
      <alignment horizontal="left" vertical="center" wrapText="1"/>
    </xf>
    <xf numFmtId="178" fontId="8" fillId="0" borderId="1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178" fontId="10" fillId="2" borderId="2" xfId="0" applyNumberFormat="1" applyFont="1" applyFill="1" applyBorder="1" applyAlignment="1">
      <alignment horizontal="left" vertical="center" wrapText="1"/>
    </xf>
    <xf numFmtId="178" fontId="10" fillId="2" borderId="1" xfId="0" applyNumberFormat="1" applyFont="1" applyFill="1" applyBorder="1" applyAlignment="1">
      <alignment horizontal="left" vertical="center" wrapText="1"/>
    </xf>
    <xf numFmtId="179" fontId="2" fillId="2" borderId="1" xfId="0" applyNumberFormat="1" applyFont="1" applyFill="1" applyBorder="1" applyAlignment="1">
      <alignment horizontal="left" vertical="center" wrapText="1"/>
    </xf>
    <xf numFmtId="0" fontId="10" fillId="2" borderId="2" xfId="0" applyFont="1" applyFill="1" applyBorder="1" applyAlignment="1">
      <alignment horizontal="left" vertical="center" wrapText="1"/>
    </xf>
    <xf numFmtId="178" fontId="9" fillId="0" borderId="2" xfId="0" applyNumberFormat="1" applyFont="1" applyBorder="1" applyAlignment="1">
      <alignment horizontal="left" vertical="center" wrapText="1"/>
    </xf>
    <xf numFmtId="178" fontId="9" fillId="0" borderId="1" xfId="0" applyNumberFormat="1" applyFont="1" applyBorder="1" applyAlignment="1">
      <alignment horizontal="left" vertical="center" wrapText="1"/>
    </xf>
    <xf numFmtId="179" fontId="3" fillId="0" borderId="1" xfId="0" applyNumberFormat="1" applyFont="1" applyFill="1" applyBorder="1" applyAlignment="1">
      <alignment horizontal="left" vertical="center" wrapText="1"/>
    </xf>
    <xf numFmtId="178" fontId="11" fillId="0" borderId="1" xfId="0" applyNumberFormat="1" applyFont="1" applyBorder="1" applyAlignment="1">
      <alignment horizontal="left" vertical="center" wrapText="1"/>
    </xf>
    <xf numFmtId="178" fontId="9" fillId="0" borderId="2" xfId="0" applyNumberFormat="1" applyFont="1" applyFill="1" applyBorder="1" applyAlignment="1">
      <alignment horizontal="left" vertical="center" wrapText="1"/>
    </xf>
    <xf numFmtId="178" fontId="9" fillId="0" borderId="1" xfId="0" applyNumberFormat="1" applyFont="1" applyFill="1" applyBorder="1" applyAlignment="1">
      <alignment horizontal="left" vertical="center" wrapText="1"/>
    </xf>
    <xf numFmtId="49" fontId="3" fillId="0" borderId="1" xfId="0" applyNumberFormat="1" applyFont="1" applyFill="1" applyBorder="1" applyAlignment="1">
      <alignment horizontal="left" vertical="center" wrapText="1"/>
    </xf>
    <xf numFmtId="177" fontId="4" fillId="0" borderId="1" xfId="0" applyNumberFormat="1" applyFont="1" applyFill="1" applyBorder="1" applyAlignment="1">
      <alignment horizontal="center" vertical="center" wrapText="1"/>
    </xf>
    <xf numFmtId="178" fontId="2" fillId="2" borderId="1" xfId="0" applyNumberFormat="1" applyFont="1" applyFill="1" applyBorder="1" applyAlignment="1">
      <alignment vertical="center" wrapText="1"/>
    </xf>
    <xf numFmtId="176" fontId="12" fillId="2" borderId="1" xfId="0" applyNumberFormat="1" applyFont="1" applyFill="1" applyBorder="1" applyAlignment="1">
      <alignment horizontal="left" vertical="center"/>
    </xf>
    <xf numFmtId="176" fontId="2" fillId="2" borderId="1" xfId="0" applyNumberFormat="1" applyFont="1" applyFill="1" applyBorder="1" applyAlignment="1">
      <alignment horizontal="left" vertical="center" wrapText="1"/>
    </xf>
    <xf numFmtId="177" fontId="2" fillId="2" borderId="1" xfId="0" applyNumberFormat="1" applyFont="1" applyFill="1" applyBorder="1" applyAlignment="1">
      <alignment horizontal="left" vertical="center" wrapText="1"/>
    </xf>
    <xf numFmtId="178" fontId="2" fillId="2" borderId="3" xfId="0" applyNumberFormat="1" applyFont="1" applyFill="1" applyBorder="1" applyAlignment="1">
      <alignment horizontal="center" vertical="center" wrapText="1"/>
    </xf>
    <xf numFmtId="178" fontId="2" fillId="2" borderId="4" xfId="0" applyNumberFormat="1" applyFont="1" applyFill="1" applyBorder="1" applyAlignment="1">
      <alignment horizontal="center" vertical="center" wrapText="1"/>
    </xf>
    <xf numFmtId="178" fontId="2" fillId="2" borderId="5" xfId="0" applyNumberFormat="1" applyFont="1" applyFill="1" applyBorder="1" applyAlignment="1">
      <alignment horizontal="center" vertical="center" wrapText="1"/>
    </xf>
    <xf numFmtId="177" fontId="12" fillId="2" borderId="1" xfId="0" applyNumberFormat="1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178" fontId="3" fillId="0" borderId="1" xfId="0" applyNumberFormat="1" applyFont="1" applyFill="1" applyBorder="1" applyAlignment="1">
      <alignment vertical="center" wrapText="1"/>
    </xf>
    <xf numFmtId="176" fontId="13" fillId="0" borderId="1" xfId="0" applyNumberFormat="1" applyFont="1" applyFill="1" applyBorder="1" applyAlignment="1">
      <alignment horizontal="left" vertical="center"/>
    </xf>
    <xf numFmtId="176" fontId="3" fillId="0" borderId="1" xfId="0" applyNumberFormat="1" applyFont="1" applyFill="1" applyBorder="1" applyAlignment="1">
      <alignment horizontal="left" vertical="center" wrapText="1"/>
    </xf>
    <xf numFmtId="177" fontId="3" fillId="0" borderId="1" xfId="0" applyNumberFormat="1" applyFont="1" applyFill="1" applyBorder="1" applyAlignment="1">
      <alignment horizontal="left" vertical="center" wrapText="1"/>
    </xf>
    <xf numFmtId="178" fontId="3" fillId="0" borderId="3" xfId="0" applyNumberFormat="1" applyFont="1" applyFill="1" applyBorder="1" applyAlignment="1">
      <alignment horizontal="center" vertical="center" wrapText="1"/>
    </xf>
    <xf numFmtId="178" fontId="3" fillId="0" borderId="4" xfId="0" applyNumberFormat="1" applyFont="1" applyFill="1" applyBorder="1" applyAlignment="1">
      <alignment horizontal="center" vertical="center" wrapText="1"/>
    </xf>
    <xf numFmtId="178" fontId="3" fillId="0" borderId="5" xfId="0" applyNumberFormat="1" applyFont="1" applyFill="1" applyBorder="1" applyAlignment="1">
      <alignment horizontal="center" vertical="center" wrapText="1"/>
    </xf>
    <xf numFmtId="178" fontId="3" fillId="0" borderId="1" xfId="0" applyNumberFormat="1" applyFont="1" applyFill="1" applyBorder="1" applyAlignment="1">
      <alignment horizontal="center" vertical="center" wrapText="1"/>
    </xf>
    <xf numFmtId="178" fontId="14" fillId="0" borderId="1" xfId="0" applyNumberFormat="1" applyFont="1" applyFill="1" applyBorder="1" applyAlignment="1">
      <alignment horizontal="center" vertical="center" wrapText="1"/>
    </xf>
    <xf numFmtId="177" fontId="2" fillId="2" borderId="3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176" fontId="2" fillId="2" borderId="3" xfId="0" applyNumberFormat="1" applyFont="1" applyFill="1" applyBorder="1" applyAlignment="1">
      <alignment horizontal="left" vertical="center" wrapText="1"/>
    </xf>
    <xf numFmtId="177" fontId="2" fillId="2" borderId="4" xfId="0" applyNumberFormat="1" applyFont="1" applyFill="1" applyBorder="1" applyAlignment="1">
      <alignment horizontal="center" vertical="center" wrapText="1"/>
    </xf>
    <xf numFmtId="177" fontId="2" fillId="2" borderId="5" xfId="0" applyNumberFormat="1" applyFont="1" applyFill="1" applyBorder="1" applyAlignment="1">
      <alignment horizontal="center" vertical="center" wrapText="1"/>
    </xf>
    <xf numFmtId="177" fontId="3" fillId="0" borderId="4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/>
    </xf>
    <xf numFmtId="176" fontId="3" fillId="0" borderId="3" xfId="0" applyNumberFormat="1" applyFont="1" applyFill="1" applyBorder="1" applyAlignment="1">
      <alignment horizontal="left" vertical="center" wrapText="1"/>
    </xf>
    <xf numFmtId="177" fontId="3" fillId="0" borderId="5" xfId="0" applyNumberFormat="1" applyFont="1" applyFill="1" applyBorder="1" applyAlignment="1">
      <alignment horizontal="center" vertical="center" wrapText="1"/>
    </xf>
    <xf numFmtId="177" fontId="3" fillId="0" borderId="3" xfId="0" applyNumberFormat="1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left" vertical="center" wrapText="1"/>
    </xf>
    <xf numFmtId="177" fontId="3" fillId="0" borderId="1" xfId="0" applyNumberFormat="1" applyFont="1" applyFill="1" applyBorder="1" applyAlignment="1">
      <alignment horizontal="center" vertical="center" wrapText="1"/>
    </xf>
    <xf numFmtId="179" fontId="3" fillId="0" borderId="1" xfId="0" applyNumberFormat="1" applyFont="1" applyFill="1" applyBorder="1" applyAlignment="1" quotePrefix="1">
      <alignment horizontal="left" vertical="center"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_Phieu thu" xfId="49"/>
    <cellStyle name="常规 2" xfId="50"/>
    <cellStyle name="常规 3" xfId="51"/>
  </cellStyles>
  <tableStyles count="0" defaultTableStyle="TableStyleMedium9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77"/>
  <sheetViews>
    <sheetView showGridLines="0" tabSelected="1" topLeftCell="A26" workbookViewId="0">
      <pane xSplit="2" topLeftCell="N1" activePane="topRight" state="frozen"/>
      <selection/>
      <selection pane="topRight" activeCell="V32" sqref="V32"/>
    </sheetView>
  </sheetViews>
  <sheetFormatPr defaultColWidth="9" defaultRowHeight="36" customHeight="1"/>
  <cols>
    <col min="1" max="1" width="26.875" style="4" customWidth="1"/>
    <col min="2" max="2" width="17.75" style="3" customWidth="1"/>
    <col min="3" max="3" width="41.75" style="3" customWidth="1"/>
    <col min="4" max="4" width="9.01666666666667" style="3" hidden="1" customWidth="1"/>
    <col min="5" max="5" width="20.375" style="3" customWidth="1"/>
    <col min="6" max="6" width="14.625" style="3" customWidth="1"/>
    <col min="7" max="7" width="20.125" style="5" customWidth="1"/>
    <col min="8" max="8" width="13.525" style="5" customWidth="1"/>
    <col min="9" max="9" width="12.625" style="5" customWidth="1"/>
    <col min="10" max="10" width="49.25" style="5" customWidth="1"/>
    <col min="11" max="11" width="13.75" style="5" hidden="1" customWidth="1"/>
    <col min="12" max="12" width="22.9333333333333" style="5" customWidth="1"/>
    <col min="13" max="14" width="14.1333333333333" style="3" customWidth="1"/>
    <col min="15" max="15" width="12" style="3" customWidth="1"/>
    <col min="16" max="16" width="15.8833333333333" style="3" customWidth="1"/>
    <col min="17" max="17" width="15.7583333333333" style="3" customWidth="1"/>
    <col min="18" max="18" width="14.25" style="3" customWidth="1"/>
    <col min="19" max="19" width="28.75" style="3" customWidth="1"/>
    <col min="20" max="20" width="14.2666666666667" style="3" customWidth="1"/>
    <col min="21" max="22" width="16.425" style="6" customWidth="1"/>
    <col min="23" max="23" width="15" style="7" customWidth="1"/>
    <col min="24" max="24" width="17" style="4" customWidth="1"/>
    <col min="25" max="25" width="10.625" style="4" customWidth="1"/>
    <col min="26" max="26" width="11.625" style="8" customWidth="1"/>
    <col min="27" max="27" width="11.625" style="7" customWidth="1"/>
    <col min="28" max="28" width="19.625" style="4" customWidth="1"/>
    <col min="29" max="29" width="18.125" style="3" customWidth="1"/>
    <col min="30" max="30" width="22.9166666666667" style="3" customWidth="1"/>
    <col min="31" max="31" width="17" style="3" customWidth="1"/>
    <col min="32" max="32" width="11.4666666666667" style="3" customWidth="1"/>
    <col min="33" max="33" width="14.875" style="3"/>
    <col min="34" max="16384" width="9" style="3"/>
  </cols>
  <sheetData>
    <row r="1" s="1" customFormat="1" ht="46" customHeight="1" spans="1:32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/>
      <c r="L1" s="10" t="s">
        <v>10</v>
      </c>
      <c r="M1" s="10" t="s">
        <v>11</v>
      </c>
      <c r="N1" s="10" t="s">
        <v>12</v>
      </c>
      <c r="O1" s="10" t="s">
        <v>13</v>
      </c>
      <c r="P1" s="10" t="s">
        <v>14</v>
      </c>
      <c r="Q1" s="10" t="s">
        <v>15</v>
      </c>
      <c r="R1" s="10" t="s">
        <v>16</v>
      </c>
      <c r="S1" s="10" t="s">
        <v>17</v>
      </c>
      <c r="T1" s="10" t="s">
        <v>18</v>
      </c>
      <c r="U1" s="10" t="s">
        <v>19</v>
      </c>
      <c r="V1" s="10" t="s">
        <v>20</v>
      </c>
      <c r="W1" s="34" t="s">
        <v>21</v>
      </c>
      <c r="X1" s="10" t="s">
        <v>22</v>
      </c>
      <c r="Y1" s="10" t="s">
        <v>23</v>
      </c>
      <c r="Z1" s="10" t="s">
        <v>24</v>
      </c>
      <c r="AA1" s="10" t="s">
        <v>25</v>
      </c>
      <c r="AB1" s="10" t="s">
        <v>26</v>
      </c>
      <c r="AC1" s="10" t="s">
        <v>27</v>
      </c>
      <c r="AD1" s="10" t="s">
        <v>28</v>
      </c>
      <c r="AE1" s="10" t="s">
        <v>29</v>
      </c>
      <c r="AF1" s="52" t="s">
        <v>30</v>
      </c>
    </row>
    <row r="2" s="2" customFormat="1" ht="42" customHeight="1" spans="1:32">
      <c r="A2" s="11" t="s">
        <v>31</v>
      </c>
      <c r="B2" s="12" t="s">
        <v>32</v>
      </c>
      <c r="C2" s="13" t="s">
        <v>33</v>
      </c>
      <c r="D2" s="14"/>
      <c r="E2" s="15" t="s">
        <v>34</v>
      </c>
      <c r="F2" s="13" t="s">
        <v>34</v>
      </c>
      <c r="G2" s="13" t="s">
        <v>34</v>
      </c>
      <c r="H2" s="13">
        <v>8419901000</v>
      </c>
      <c r="I2" s="11">
        <v>84199029</v>
      </c>
      <c r="J2" s="23" t="s">
        <v>35</v>
      </c>
      <c r="K2" s="24"/>
      <c r="L2" s="13" t="s">
        <v>36</v>
      </c>
      <c r="M2" s="13" t="s">
        <v>37</v>
      </c>
      <c r="N2" s="13" t="s">
        <v>34</v>
      </c>
      <c r="O2" s="25" t="s">
        <v>38</v>
      </c>
      <c r="P2" s="13" t="s">
        <v>39</v>
      </c>
      <c r="Q2" s="13" t="s">
        <v>40</v>
      </c>
      <c r="R2" s="35"/>
      <c r="S2" s="13"/>
      <c r="T2" s="13">
        <v>5</v>
      </c>
      <c r="U2" s="36">
        <v>165</v>
      </c>
      <c r="V2" s="37">
        <f>ROUND(U2*1.08/6.7894,4)</f>
        <v>26.2468</v>
      </c>
      <c r="W2" s="38">
        <f>ROUND(V2*T2,2)</f>
        <v>131.23</v>
      </c>
      <c r="X2" s="39" t="s">
        <v>41</v>
      </c>
      <c r="Y2" s="39">
        <v>0</v>
      </c>
      <c r="Z2" s="53">
        <v>11.69</v>
      </c>
      <c r="AA2" s="11">
        <v>7.55</v>
      </c>
      <c r="AB2" s="39" t="s">
        <v>42</v>
      </c>
      <c r="AC2" s="11" t="s">
        <v>43</v>
      </c>
      <c r="AD2" s="15" t="s">
        <v>44</v>
      </c>
      <c r="AE2" s="54" t="s">
        <v>45</v>
      </c>
      <c r="AF2" s="55">
        <f>ROUND(U2*1.08,4)</f>
        <v>178.2</v>
      </c>
    </row>
    <row r="3" s="2" customFormat="1" ht="42" customHeight="1" spans="1:32">
      <c r="A3" s="11" t="s">
        <v>46</v>
      </c>
      <c r="B3" s="12" t="s">
        <v>47</v>
      </c>
      <c r="C3" s="13" t="s">
        <v>33</v>
      </c>
      <c r="D3" s="14"/>
      <c r="E3" s="15" t="s">
        <v>48</v>
      </c>
      <c r="F3" s="13" t="s">
        <v>34</v>
      </c>
      <c r="G3" s="13" t="s">
        <v>34</v>
      </c>
      <c r="H3" s="11">
        <v>4010390000</v>
      </c>
      <c r="I3" s="11">
        <v>39269053</v>
      </c>
      <c r="J3" s="23" t="s">
        <v>49</v>
      </c>
      <c r="K3" s="24"/>
      <c r="L3" s="13" t="s">
        <v>50</v>
      </c>
      <c r="M3" s="13" t="s">
        <v>34</v>
      </c>
      <c r="N3" s="13" t="s">
        <v>34</v>
      </c>
      <c r="O3" s="25" t="s">
        <v>38</v>
      </c>
      <c r="P3" s="13" t="s">
        <v>39</v>
      </c>
      <c r="Q3" s="13" t="s">
        <v>40</v>
      </c>
      <c r="R3" s="35"/>
      <c r="S3" s="13"/>
      <c r="T3" s="13">
        <v>4</v>
      </c>
      <c r="U3" s="36">
        <v>35</v>
      </c>
      <c r="V3" s="37">
        <f t="shared" ref="V3:V27" si="0">ROUND(U3*1.08/6.7894,4)</f>
        <v>5.5675</v>
      </c>
      <c r="W3" s="38">
        <f t="shared" ref="W3:W56" si="1">ROUND(V3*T3,2)</f>
        <v>22.27</v>
      </c>
      <c r="X3" s="40"/>
      <c r="Y3" s="40"/>
      <c r="Z3" s="56"/>
      <c r="AA3" s="11">
        <v>0.73</v>
      </c>
      <c r="AB3" s="40"/>
      <c r="AC3" s="11" t="s">
        <v>51</v>
      </c>
      <c r="AD3" s="15" t="s">
        <v>52</v>
      </c>
      <c r="AE3" s="54" t="s">
        <v>45</v>
      </c>
      <c r="AF3" s="55">
        <f t="shared" ref="AF3:AF27" si="2">ROUND(U3*1.08,4)</f>
        <v>37.8</v>
      </c>
    </row>
    <row r="4" s="2" customFormat="1" ht="42" customHeight="1" spans="1:32">
      <c r="A4" s="11" t="s">
        <v>46</v>
      </c>
      <c r="B4" s="12" t="s">
        <v>47</v>
      </c>
      <c r="C4" s="13" t="s">
        <v>33</v>
      </c>
      <c r="D4" s="14"/>
      <c r="E4" s="15" t="s">
        <v>53</v>
      </c>
      <c r="F4" s="13" t="s">
        <v>34</v>
      </c>
      <c r="G4" s="13" t="s">
        <v>34</v>
      </c>
      <c r="H4" s="11">
        <v>4010390000</v>
      </c>
      <c r="I4" s="11">
        <v>39269053</v>
      </c>
      <c r="J4" s="23" t="s">
        <v>54</v>
      </c>
      <c r="K4" s="24"/>
      <c r="L4" s="13" t="s">
        <v>50</v>
      </c>
      <c r="M4" s="13" t="s">
        <v>34</v>
      </c>
      <c r="N4" s="13" t="s">
        <v>34</v>
      </c>
      <c r="O4" s="25" t="s">
        <v>38</v>
      </c>
      <c r="P4" s="13" t="s">
        <v>39</v>
      </c>
      <c r="Q4" s="13" t="s">
        <v>40</v>
      </c>
      <c r="R4" s="35"/>
      <c r="S4" s="13"/>
      <c r="T4" s="13">
        <v>4</v>
      </c>
      <c r="U4" s="36">
        <v>38</v>
      </c>
      <c r="V4" s="37">
        <f t="shared" si="0"/>
        <v>6.0447</v>
      </c>
      <c r="W4" s="38">
        <f t="shared" si="1"/>
        <v>24.18</v>
      </c>
      <c r="X4" s="40"/>
      <c r="Y4" s="40"/>
      <c r="Z4" s="56"/>
      <c r="AA4" s="11">
        <v>0.82</v>
      </c>
      <c r="AB4" s="40"/>
      <c r="AC4" s="11" t="s">
        <v>55</v>
      </c>
      <c r="AD4" s="15" t="s">
        <v>52</v>
      </c>
      <c r="AE4" s="54" t="s">
        <v>45</v>
      </c>
      <c r="AF4" s="55">
        <f t="shared" si="2"/>
        <v>41.04</v>
      </c>
    </row>
    <row r="5" s="2" customFormat="1" ht="42" customHeight="1" spans="1:32">
      <c r="A5" s="11" t="s">
        <v>46</v>
      </c>
      <c r="B5" s="12" t="s">
        <v>47</v>
      </c>
      <c r="C5" s="13" t="s">
        <v>33</v>
      </c>
      <c r="D5" s="14"/>
      <c r="E5" s="15" t="s">
        <v>56</v>
      </c>
      <c r="F5" s="13" t="s">
        <v>34</v>
      </c>
      <c r="G5" s="13" t="s">
        <v>34</v>
      </c>
      <c r="H5" s="11">
        <v>4010390000</v>
      </c>
      <c r="I5" s="11">
        <v>39269053</v>
      </c>
      <c r="J5" s="23" t="s">
        <v>57</v>
      </c>
      <c r="K5" s="24"/>
      <c r="L5" s="13" t="s">
        <v>50</v>
      </c>
      <c r="M5" s="13" t="s">
        <v>34</v>
      </c>
      <c r="N5" s="13" t="s">
        <v>34</v>
      </c>
      <c r="O5" s="25" t="s">
        <v>38</v>
      </c>
      <c r="P5" s="13" t="s">
        <v>39</v>
      </c>
      <c r="Q5" s="13" t="s">
        <v>40</v>
      </c>
      <c r="R5" s="35"/>
      <c r="S5" s="13"/>
      <c r="T5" s="13">
        <v>4</v>
      </c>
      <c r="U5" s="36">
        <v>68</v>
      </c>
      <c r="V5" s="37">
        <f t="shared" si="0"/>
        <v>10.8169</v>
      </c>
      <c r="W5" s="38">
        <f t="shared" si="1"/>
        <v>43.27</v>
      </c>
      <c r="X5" s="41"/>
      <c r="Y5" s="41"/>
      <c r="Z5" s="57"/>
      <c r="AA5" s="11">
        <v>1.87</v>
      </c>
      <c r="AB5" s="41"/>
      <c r="AC5" s="11" t="s">
        <v>58</v>
      </c>
      <c r="AD5" s="15" t="s">
        <v>52</v>
      </c>
      <c r="AE5" s="54" t="s">
        <v>45</v>
      </c>
      <c r="AF5" s="55">
        <f t="shared" si="2"/>
        <v>73.44</v>
      </c>
    </row>
    <row r="6" s="2" customFormat="1" ht="42" customHeight="1" spans="1:32">
      <c r="A6" s="11" t="s">
        <v>59</v>
      </c>
      <c r="B6" s="14" t="s">
        <v>60</v>
      </c>
      <c r="C6" s="13" t="s">
        <v>61</v>
      </c>
      <c r="D6" s="13" t="s">
        <v>62</v>
      </c>
      <c r="E6" s="13" t="s">
        <v>63</v>
      </c>
      <c r="F6" s="13" t="s">
        <v>34</v>
      </c>
      <c r="G6" s="13" t="s">
        <v>34</v>
      </c>
      <c r="H6" s="11">
        <v>8536100000</v>
      </c>
      <c r="I6" s="11">
        <v>85361012</v>
      </c>
      <c r="J6" s="23" t="s">
        <v>64</v>
      </c>
      <c r="K6" s="24"/>
      <c r="L6" s="13" t="s">
        <v>65</v>
      </c>
      <c r="M6" s="13" t="s">
        <v>66</v>
      </c>
      <c r="N6" s="13" t="s">
        <v>34</v>
      </c>
      <c r="O6" s="25" t="s">
        <v>67</v>
      </c>
      <c r="P6" s="13" t="s">
        <v>39</v>
      </c>
      <c r="Q6" s="13" t="s">
        <v>40</v>
      </c>
      <c r="R6" s="35"/>
      <c r="S6" s="13"/>
      <c r="T6" s="13">
        <v>50</v>
      </c>
      <c r="U6" s="36">
        <v>3.5</v>
      </c>
      <c r="V6" s="37">
        <f t="shared" si="0"/>
        <v>0.5568</v>
      </c>
      <c r="W6" s="38">
        <f t="shared" si="1"/>
        <v>27.84</v>
      </c>
      <c r="X6" s="39" t="s">
        <v>68</v>
      </c>
      <c r="Y6" s="39">
        <v>0</v>
      </c>
      <c r="Z6" s="53">
        <v>20.38</v>
      </c>
      <c r="AA6" s="11">
        <v>0.45</v>
      </c>
      <c r="AB6" s="39" t="s">
        <v>69</v>
      </c>
      <c r="AC6" s="11" t="s">
        <v>70</v>
      </c>
      <c r="AD6" s="15" t="s">
        <v>71</v>
      </c>
      <c r="AE6" s="54" t="s">
        <v>45</v>
      </c>
      <c r="AF6" s="55">
        <f t="shared" si="2"/>
        <v>3.78</v>
      </c>
    </row>
    <row r="7" s="2" customFormat="1" ht="42" customHeight="1" spans="1:32">
      <c r="A7" s="11" t="s">
        <v>72</v>
      </c>
      <c r="B7" s="12" t="s">
        <v>73</v>
      </c>
      <c r="C7" s="13" t="s">
        <v>74</v>
      </c>
      <c r="D7" s="14" t="s">
        <v>75</v>
      </c>
      <c r="E7" s="15" t="s">
        <v>76</v>
      </c>
      <c r="F7" s="13" t="s">
        <v>34</v>
      </c>
      <c r="G7" s="13" t="s">
        <v>34</v>
      </c>
      <c r="H7" s="13">
        <v>8536490090</v>
      </c>
      <c r="I7" s="11">
        <v>85364990</v>
      </c>
      <c r="J7" s="23" t="s">
        <v>77</v>
      </c>
      <c r="K7" s="24"/>
      <c r="L7" s="13" t="s">
        <v>78</v>
      </c>
      <c r="M7" s="13" t="s">
        <v>79</v>
      </c>
      <c r="N7" s="13" t="s">
        <v>34</v>
      </c>
      <c r="O7" s="25" t="s">
        <v>38</v>
      </c>
      <c r="P7" s="13" t="s">
        <v>80</v>
      </c>
      <c r="Q7" s="13" t="s">
        <v>40</v>
      </c>
      <c r="R7" s="35"/>
      <c r="S7" s="13"/>
      <c r="T7" s="13">
        <v>2</v>
      </c>
      <c r="U7" s="42">
        <v>43</v>
      </c>
      <c r="V7" s="37">
        <f t="shared" si="0"/>
        <v>6.8401</v>
      </c>
      <c r="W7" s="38">
        <f t="shared" si="1"/>
        <v>13.68</v>
      </c>
      <c r="X7" s="40"/>
      <c r="Y7" s="40"/>
      <c r="Z7" s="56"/>
      <c r="AA7" s="11">
        <v>0.46</v>
      </c>
      <c r="AB7" s="40"/>
      <c r="AC7" s="11" t="s">
        <v>81</v>
      </c>
      <c r="AD7" s="15" t="s">
        <v>82</v>
      </c>
      <c r="AE7" s="54" t="s">
        <v>45</v>
      </c>
      <c r="AF7" s="55">
        <f t="shared" si="2"/>
        <v>46.44</v>
      </c>
    </row>
    <row r="8" s="2" customFormat="1" ht="42" customHeight="1" spans="1:32">
      <c r="A8" s="11" t="s">
        <v>83</v>
      </c>
      <c r="B8" s="12" t="s">
        <v>84</v>
      </c>
      <c r="C8" s="13" t="s">
        <v>33</v>
      </c>
      <c r="D8" s="14"/>
      <c r="E8" s="15" t="s">
        <v>85</v>
      </c>
      <c r="F8" s="13" t="s">
        <v>34</v>
      </c>
      <c r="G8" s="13" t="s">
        <v>34</v>
      </c>
      <c r="H8" s="11">
        <v>8477900000</v>
      </c>
      <c r="I8" s="11">
        <v>84779040</v>
      </c>
      <c r="J8" s="23" t="s">
        <v>86</v>
      </c>
      <c r="K8" s="24"/>
      <c r="L8" s="13" t="s">
        <v>36</v>
      </c>
      <c r="M8" s="13" t="s">
        <v>34</v>
      </c>
      <c r="N8" s="13" t="s">
        <v>34</v>
      </c>
      <c r="O8" s="25" t="s">
        <v>38</v>
      </c>
      <c r="P8" s="13" t="s">
        <v>39</v>
      </c>
      <c r="Q8" s="13" t="s">
        <v>40</v>
      </c>
      <c r="R8" s="35"/>
      <c r="S8" s="13"/>
      <c r="T8" s="13">
        <v>3</v>
      </c>
      <c r="U8" s="36">
        <v>185</v>
      </c>
      <c r="V8" s="37">
        <f t="shared" si="0"/>
        <v>29.4282</v>
      </c>
      <c r="W8" s="38">
        <f t="shared" si="1"/>
        <v>88.28</v>
      </c>
      <c r="X8" s="40"/>
      <c r="Y8" s="40"/>
      <c r="Z8" s="56"/>
      <c r="AA8" s="11">
        <v>0.78</v>
      </c>
      <c r="AB8" s="40"/>
      <c r="AC8" s="11" t="s">
        <v>87</v>
      </c>
      <c r="AD8" s="15" t="s">
        <v>88</v>
      </c>
      <c r="AE8" s="54" t="s">
        <v>45</v>
      </c>
      <c r="AF8" s="55">
        <f t="shared" si="2"/>
        <v>199.8</v>
      </c>
    </row>
    <row r="9" s="2" customFormat="1" ht="42" customHeight="1" spans="1:32">
      <c r="A9" s="11" t="s">
        <v>89</v>
      </c>
      <c r="B9" s="12" t="s">
        <v>90</v>
      </c>
      <c r="C9" s="13" t="s">
        <v>33</v>
      </c>
      <c r="D9" s="14"/>
      <c r="E9" s="15" t="s">
        <v>91</v>
      </c>
      <c r="F9" s="13" t="s">
        <v>34</v>
      </c>
      <c r="G9" s="13">
        <v>226050972</v>
      </c>
      <c r="H9" s="11">
        <v>8477900000</v>
      </c>
      <c r="I9" s="11">
        <v>84779032</v>
      </c>
      <c r="J9" s="23" t="s">
        <v>92</v>
      </c>
      <c r="K9" s="24"/>
      <c r="L9" s="13" t="s">
        <v>36</v>
      </c>
      <c r="M9" s="13" t="s">
        <v>34</v>
      </c>
      <c r="N9" s="13" t="s">
        <v>34</v>
      </c>
      <c r="O9" s="25" t="s">
        <v>93</v>
      </c>
      <c r="P9" s="13" t="s">
        <v>39</v>
      </c>
      <c r="Q9" s="13" t="s">
        <v>40</v>
      </c>
      <c r="R9" s="35"/>
      <c r="S9" s="13"/>
      <c r="T9" s="13">
        <v>30</v>
      </c>
      <c r="U9" s="36">
        <v>36</v>
      </c>
      <c r="V9" s="37">
        <f t="shared" si="0"/>
        <v>5.7266</v>
      </c>
      <c r="W9" s="38">
        <f t="shared" si="1"/>
        <v>171.8</v>
      </c>
      <c r="X9" s="40"/>
      <c r="Y9" s="40"/>
      <c r="Z9" s="56"/>
      <c r="AA9" s="11">
        <v>1.06</v>
      </c>
      <c r="AB9" s="40"/>
      <c r="AC9" s="11" t="s">
        <v>94</v>
      </c>
      <c r="AD9" s="15" t="s">
        <v>95</v>
      </c>
      <c r="AE9" s="54" t="s">
        <v>45</v>
      </c>
      <c r="AF9" s="55">
        <f t="shared" si="2"/>
        <v>38.88</v>
      </c>
    </row>
    <row r="10" s="2" customFormat="1" ht="42" customHeight="1" spans="1:32">
      <c r="A10" s="11" t="s">
        <v>89</v>
      </c>
      <c r="B10" s="12" t="s">
        <v>96</v>
      </c>
      <c r="C10" s="13" t="s">
        <v>33</v>
      </c>
      <c r="D10" s="14"/>
      <c r="E10" s="15" t="s">
        <v>97</v>
      </c>
      <c r="F10" s="13" t="s">
        <v>34</v>
      </c>
      <c r="G10" s="13" t="s">
        <v>34</v>
      </c>
      <c r="H10" s="11">
        <v>8477900000</v>
      </c>
      <c r="I10" s="11">
        <v>84779032</v>
      </c>
      <c r="J10" s="23" t="s">
        <v>98</v>
      </c>
      <c r="K10" s="24"/>
      <c r="L10" s="13" t="s">
        <v>36</v>
      </c>
      <c r="M10" s="13" t="s">
        <v>34</v>
      </c>
      <c r="N10" s="13" t="s">
        <v>34</v>
      </c>
      <c r="O10" s="25" t="s">
        <v>38</v>
      </c>
      <c r="P10" s="13" t="s">
        <v>39</v>
      </c>
      <c r="Q10" s="13" t="s">
        <v>40</v>
      </c>
      <c r="R10" s="35"/>
      <c r="S10" s="13"/>
      <c r="T10" s="43">
        <v>20</v>
      </c>
      <c r="U10" s="42">
        <v>3.5</v>
      </c>
      <c r="V10" s="37">
        <f t="shared" si="0"/>
        <v>0.5568</v>
      </c>
      <c r="W10" s="38">
        <f t="shared" si="1"/>
        <v>11.14</v>
      </c>
      <c r="X10" s="40"/>
      <c r="Y10" s="40"/>
      <c r="Z10" s="56"/>
      <c r="AA10" s="11">
        <v>0.13</v>
      </c>
      <c r="AB10" s="40"/>
      <c r="AC10" s="11" t="s">
        <v>99</v>
      </c>
      <c r="AD10" s="15" t="s">
        <v>95</v>
      </c>
      <c r="AE10" s="54" t="s">
        <v>45</v>
      </c>
      <c r="AF10" s="55">
        <f t="shared" si="2"/>
        <v>3.78</v>
      </c>
    </row>
    <row r="11" s="2" customFormat="1" ht="42" customHeight="1" spans="1:32">
      <c r="A11" s="11" t="s">
        <v>89</v>
      </c>
      <c r="B11" s="12" t="s">
        <v>96</v>
      </c>
      <c r="C11" s="13" t="s">
        <v>33</v>
      </c>
      <c r="D11" s="14"/>
      <c r="E11" s="15" t="s">
        <v>100</v>
      </c>
      <c r="F11" s="13" t="s">
        <v>34</v>
      </c>
      <c r="G11" s="13" t="s">
        <v>34</v>
      </c>
      <c r="H11" s="11">
        <v>8477900000</v>
      </c>
      <c r="I11" s="11">
        <v>84779032</v>
      </c>
      <c r="J11" s="23" t="s">
        <v>101</v>
      </c>
      <c r="K11" s="24"/>
      <c r="L11" s="13" t="s">
        <v>36</v>
      </c>
      <c r="M11" s="13" t="s">
        <v>34</v>
      </c>
      <c r="N11" s="13" t="s">
        <v>34</v>
      </c>
      <c r="O11" s="25" t="s">
        <v>38</v>
      </c>
      <c r="P11" s="13" t="s">
        <v>39</v>
      </c>
      <c r="Q11" s="13" t="s">
        <v>40</v>
      </c>
      <c r="R11" s="35"/>
      <c r="S11" s="13"/>
      <c r="T11" s="43">
        <v>30</v>
      </c>
      <c r="U11" s="42">
        <v>3.3</v>
      </c>
      <c r="V11" s="37">
        <f t="shared" si="0"/>
        <v>0.5249</v>
      </c>
      <c r="W11" s="38">
        <f t="shared" si="1"/>
        <v>15.75</v>
      </c>
      <c r="X11" s="40"/>
      <c r="Y11" s="40"/>
      <c r="Z11" s="56"/>
      <c r="AA11" s="11">
        <v>0.31</v>
      </c>
      <c r="AB11" s="40"/>
      <c r="AC11" s="11" t="s">
        <v>102</v>
      </c>
      <c r="AD11" s="15" t="s">
        <v>95</v>
      </c>
      <c r="AE11" s="54" t="s">
        <v>45</v>
      </c>
      <c r="AF11" s="55">
        <f t="shared" si="2"/>
        <v>3.564</v>
      </c>
    </row>
    <row r="12" s="2" customFormat="1" ht="42" customHeight="1" spans="1:32">
      <c r="A12" s="11" t="s">
        <v>103</v>
      </c>
      <c r="B12" s="12" t="s">
        <v>104</v>
      </c>
      <c r="C12" s="13" t="s">
        <v>33</v>
      </c>
      <c r="D12" s="14"/>
      <c r="E12" s="15" t="s">
        <v>105</v>
      </c>
      <c r="F12" s="13" t="s">
        <v>34</v>
      </c>
      <c r="G12" s="13" t="s">
        <v>106</v>
      </c>
      <c r="H12" s="11">
        <v>8207400000</v>
      </c>
      <c r="I12" s="11">
        <v>82074000</v>
      </c>
      <c r="J12" s="23" t="s">
        <v>107</v>
      </c>
      <c r="K12" s="24"/>
      <c r="L12" s="13" t="s">
        <v>36</v>
      </c>
      <c r="M12" s="13" t="s">
        <v>34</v>
      </c>
      <c r="N12" s="13" t="s">
        <v>34</v>
      </c>
      <c r="O12" s="25" t="s">
        <v>38</v>
      </c>
      <c r="P12" s="13" t="s">
        <v>39</v>
      </c>
      <c r="Q12" s="13" t="s">
        <v>40</v>
      </c>
      <c r="R12" s="35"/>
      <c r="S12" s="13"/>
      <c r="T12" s="13">
        <v>3</v>
      </c>
      <c r="U12" s="36">
        <v>75</v>
      </c>
      <c r="V12" s="37">
        <f t="shared" si="0"/>
        <v>11.9304</v>
      </c>
      <c r="W12" s="38">
        <f t="shared" si="1"/>
        <v>35.79</v>
      </c>
      <c r="X12" s="40"/>
      <c r="Y12" s="40"/>
      <c r="Z12" s="56"/>
      <c r="AA12" s="11">
        <v>0.08</v>
      </c>
      <c r="AB12" s="40"/>
      <c r="AC12" s="11" t="s">
        <v>108</v>
      </c>
      <c r="AD12" s="15" t="s">
        <v>95</v>
      </c>
      <c r="AE12" s="54" t="s">
        <v>45</v>
      </c>
      <c r="AF12" s="55">
        <f t="shared" si="2"/>
        <v>81</v>
      </c>
    </row>
    <row r="13" s="2" customFormat="1" ht="42" customHeight="1" spans="1:32">
      <c r="A13" s="11" t="s">
        <v>103</v>
      </c>
      <c r="B13" s="12" t="s">
        <v>104</v>
      </c>
      <c r="C13" s="13" t="s">
        <v>33</v>
      </c>
      <c r="D13" s="14"/>
      <c r="E13" s="15" t="s">
        <v>109</v>
      </c>
      <c r="F13" s="13" t="s">
        <v>34</v>
      </c>
      <c r="G13" s="13" t="s">
        <v>110</v>
      </c>
      <c r="H13" s="11">
        <v>8207400000</v>
      </c>
      <c r="I13" s="11">
        <v>82074000</v>
      </c>
      <c r="J13" s="23" t="s">
        <v>111</v>
      </c>
      <c r="K13" s="24"/>
      <c r="L13" s="13" t="s">
        <v>36</v>
      </c>
      <c r="M13" s="13" t="s">
        <v>34</v>
      </c>
      <c r="N13" s="13" t="s">
        <v>34</v>
      </c>
      <c r="O13" s="25" t="s">
        <v>38</v>
      </c>
      <c r="P13" s="13" t="s">
        <v>39</v>
      </c>
      <c r="Q13" s="13" t="s">
        <v>40</v>
      </c>
      <c r="R13" s="35"/>
      <c r="S13" s="13"/>
      <c r="T13" s="13">
        <v>3</v>
      </c>
      <c r="U13" s="36">
        <v>45</v>
      </c>
      <c r="V13" s="37">
        <f t="shared" si="0"/>
        <v>7.1582</v>
      </c>
      <c r="W13" s="38">
        <f t="shared" si="1"/>
        <v>21.47</v>
      </c>
      <c r="X13" s="40"/>
      <c r="Y13" s="40"/>
      <c r="Z13" s="56"/>
      <c r="AA13" s="11">
        <v>0.04</v>
      </c>
      <c r="AB13" s="40"/>
      <c r="AC13" s="11" t="s">
        <v>112</v>
      </c>
      <c r="AD13" s="15" t="s">
        <v>95</v>
      </c>
      <c r="AE13" s="54" t="s">
        <v>45</v>
      </c>
      <c r="AF13" s="55">
        <f t="shared" si="2"/>
        <v>48.6</v>
      </c>
    </row>
    <row r="14" s="2" customFormat="1" ht="42" customHeight="1" spans="1:32">
      <c r="A14" s="11" t="s">
        <v>113</v>
      </c>
      <c r="B14" s="12" t="s">
        <v>114</v>
      </c>
      <c r="C14" s="13" t="s">
        <v>33</v>
      </c>
      <c r="D14" s="14"/>
      <c r="E14" s="16" t="s">
        <v>115</v>
      </c>
      <c r="F14" s="13" t="s">
        <v>34</v>
      </c>
      <c r="G14" s="13" t="s">
        <v>34</v>
      </c>
      <c r="H14" s="11">
        <v>7403190000</v>
      </c>
      <c r="I14" s="26">
        <v>74031900</v>
      </c>
      <c r="J14" s="23" t="s">
        <v>116</v>
      </c>
      <c r="K14" s="24"/>
      <c r="L14" s="13" t="s">
        <v>36</v>
      </c>
      <c r="M14" s="13" t="s">
        <v>34</v>
      </c>
      <c r="N14" s="13" t="s">
        <v>34</v>
      </c>
      <c r="O14" s="25" t="s">
        <v>38</v>
      </c>
      <c r="P14" s="13" t="s">
        <v>39</v>
      </c>
      <c r="Q14" s="13" t="s">
        <v>40</v>
      </c>
      <c r="R14" s="35"/>
      <c r="S14" s="13"/>
      <c r="T14" s="13">
        <v>1</v>
      </c>
      <c r="U14" s="36">
        <v>586</v>
      </c>
      <c r="V14" s="37">
        <f t="shared" si="0"/>
        <v>93.2159</v>
      </c>
      <c r="W14" s="38">
        <f t="shared" si="1"/>
        <v>93.22</v>
      </c>
      <c r="X14" s="40"/>
      <c r="Y14" s="40"/>
      <c r="Z14" s="56"/>
      <c r="AA14" s="11">
        <v>4.99</v>
      </c>
      <c r="AB14" s="40"/>
      <c r="AC14" s="11" t="s">
        <v>117</v>
      </c>
      <c r="AD14" s="15" t="s">
        <v>95</v>
      </c>
      <c r="AE14" s="54" t="s">
        <v>45</v>
      </c>
      <c r="AF14" s="55">
        <f t="shared" si="2"/>
        <v>632.88</v>
      </c>
    </row>
    <row r="15" s="2" customFormat="1" ht="42" customHeight="1" spans="1:32">
      <c r="A15" s="11" t="s">
        <v>118</v>
      </c>
      <c r="B15" s="12" t="s">
        <v>119</v>
      </c>
      <c r="C15" s="13" t="s">
        <v>33</v>
      </c>
      <c r="D15" s="14" t="s">
        <v>120</v>
      </c>
      <c r="E15" s="15" t="s">
        <v>121</v>
      </c>
      <c r="F15" s="13" t="s">
        <v>34</v>
      </c>
      <c r="G15" s="13" t="s">
        <v>34</v>
      </c>
      <c r="H15" s="11">
        <v>8467991000</v>
      </c>
      <c r="I15" s="11">
        <v>84679990</v>
      </c>
      <c r="J15" s="23" t="s">
        <v>122</v>
      </c>
      <c r="K15" s="24"/>
      <c r="L15" s="13" t="s">
        <v>36</v>
      </c>
      <c r="M15" s="13" t="s">
        <v>34</v>
      </c>
      <c r="N15" s="13" t="s">
        <v>34</v>
      </c>
      <c r="O15" s="25" t="s">
        <v>38</v>
      </c>
      <c r="P15" s="13" t="s">
        <v>80</v>
      </c>
      <c r="Q15" s="13" t="s">
        <v>40</v>
      </c>
      <c r="R15" s="35"/>
      <c r="S15" s="13"/>
      <c r="T15" s="13">
        <v>3</v>
      </c>
      <c r="U15" s="36">
        <v>36</v>
      </c>
      <c r="V15" s="37">
        <f t="shared" si="0"/>
        <v>5.7266</v>
      </c>
      <c r="W15" s="38">
        <f t="shared" si="1"/>
        <v>17.18</v>
      </c>
      <c r="X15" s="40"/>
      <c r="Y15" s="40"/>
      <c r="Z15" s="56"/>
      <c r="AA15" s="11">
        <v>0.28</v>
      </c>
      <c r="AB15" s="40"/>
      <c r="AC15" s="11" t="s">
        <v>123</v>
      </c>
      <c r="AD15" s="15" t="s">
        <v>95</v>
      </c>
      <c r="AE15" s="54" t="s">
        <v>45</v>
      </c>
      <c r="AF15" s="55">
        <f t="shared" si="2"/>
        <v>38.88</v>
      </c>
    </row>
    <row r="16" s="2" customFormat="1" ht="42" customHeight="1" spans="1:32">
      <c r="A16" s="11" t="s">
        <v>124</v>
      </c>
      <c r="B16" s="12" t="s">
        <v>125</v>
      </c>
      <c r="C16" s="13" t="s">
        <v>33</v>
      </c>
      <c r="D16" s="14"/>
      <c r="E16" s="15" t="s">
        <v>126</v>
      </c>
      <c r="F16" s="13" t="s">
        <v>34</v>
      </c>
      <c r="G16" s="13" t="s">
        <v>34</v>
      </c>
      <c r="H16" s="11">
        <v>7320209000</v>
      </c>
      <c r="I16" s="11">
        <v>73202090</v>
      </c>
      <c r="J16" s="23" t="s">
        <v>127</v>
      </c>
      <c r="K16" s="24"/>
      <c r="L16" s="13" t="s">
        <v>36</v>
      </c>
      <c r="M16" s="13" t="s">
        <v>34</v>
      </c>
      <c r="N16" s="13" t="s">
        <v>34</v>
      </c>
      <c r="O16" s="25" t="s">
        <v>128</v>
      </c>
      <c r="P16" s="13" t="s">
        <v>39</v>
      </c>
      <c r="Q16" s="13" t="s">
        <v>40</v>
      </c>
      <c r="R16" s="35"/>
      <c r="S16" s="13"/>
      <c r="T16" s="13">
        <v>12</v>
      </c>
      <c r="U16" s="36">
        <v>1.8</v>
      </c>
      <c r="V16" s="37">
        <f t="shared" si="0"/>
        <v>0.2863</v>
      </c>
      <c r="W16" s="38">
        <f t="shared" si="1"/>
        <v>3.44</v>
      </c>
      <c r="X16" s="40"/>
      <c r="Y16" s="40"/>
      <c r="Z16" s="56"/>
      <c r="AA16" s="11">
        <v>0.18</v>
      </c>
      <c r="AB16" s="40"/>
      <c r="AC16" s="11" t="s">
        <v>129</v>
      </c>
      <c r="AD16" s="15" t="s">
        <v>95</v>
      </c>
      <c r="AE16" s="54" t="s">
        <v>45</v>
      </c>
      <c r="AF16" s="55">
        <f t="shared" si="2"/>
        <v>1.944</v>
      </c>
    </row>
    <row r="17" s="2" customFormat="1" ht="42" customHeight="1" spans="1:32">
      <c r="A17" s="11" t="s">
        <v>130</v>
      </c>
      <c r="B17" s="12" t="s">
        <v>131</v>
      </c>
      <c r="C17" s="13" t="s">
        <v>33</v>
      </c>
      <c r="D17" s="14"/>
      <c r="E17" s="15" t="s">
        <v>132</v>
      </c>
      <c r="F17" s="13" t="s">
        <v>34</v>
      </c>
      <c r="G17" s="13" t="s">
        <v>34</v>
      </c>
      <c r="H17" s="11">
        <v>8466200090</v>
      </c>
      <c r="I17" s="11">
        <v>84662090</v>
      </c>
      <c r="J17" s="23" t="s">
        <v>133</v>
      </c>
      <c r="K17" s="24"/>
      <c r="L17" s="13" t="s">
        <v>134</v>
      </c>
      <c r="M17" s="13" t="s">
        <v>34</v>
      </c>
      <c r="N17" s="13" t="s">
        <v>34</v>
      </c>
      <c r="O17" s="25" t="s">
        <v>38</v>
      </c>
      <c r="P17" s="13" t="s">
        <v>39</v>
      </c>
      <c r="Q17" s="13" t="s">
        <v>40</v>
      </c>
      <c r="R17" s="35"/>
      <c r="S17" s="13"/>
      <c r="T17" s="13">
        <v>5</v>
      </c>
      <c r="U17" s="36">
        <v>115</v>
      </c>
      <c r="V17" s="37">
        <f t="shared" si="0"/>
        <v>18.2932</v>
      </c>
      <c r="W17" s="38">
        <f t="shared" si="1"/>
        <v>91.47</v>
      </c>
      <c r="X17" s="40"/>
      <c r="Y17" s="40"/>
      <c r="Z17" s="56"/>
      <c r="AA17" s="11">
        <v>0.32</v>
      </c>
      <c r="AB17" s="40"/>
      <c r="AC17" s="11" t="s">
        <v>135</v>
      </c>
      <c r="AD17" s="15" t="s">
        <v>136</v>
      </c>
      <c r="AE17" s="54" t="s">
        <v>45</v>
      </c>
      <c r="AF17" s="55">
        <f t="shared" si="2"/>
        <v>124.2</v>
      </c>
    </row>
    <row r="18" s="2" customFormat="1" ht="42" customHeight="1" spans="1:32">
      <c r="A18" s="11" t="s">
        <v>137</v>
      </c>
      <c r="B18" s="12" t="s">
        <v>138</v>
      </c>
      <c r="C18" s="13" t="s">
        <v>33</v>
      </c>
      <c r="D18" s="14"/>
      <c r="E18" s="15" t="s">
        <v>139</v>
      </c>
      <c r="F18" s="13" t="s">
        <v>34</v>
      </c>
      <c r="G18" s="13" t="s">
        <v>34</v>
      </c>
      <c r="H18" s="11">
        <v>8480490090</v>
      </c>
      <c r="I18" s="11">
        <v>84804900</v>
      </c>
      <c r="J18" s="23" t="s">
        <v>140</v>
      </c>
      <c r="K18" s="24"/>
      <c r="L18" s="13" t="s">
        <v>36</v>
      </c>
      <c r="M18" s="13" t="s">
        <v>34</v>
      </c>
      <c r="N18" s="13" t="s">
        <v>34</v>
      </c>
      <c r="O18" s="25" t="s">
        <v>128</v>
      </c>
      <c r="P18" s="13" t="s">
        <v>39</v>
      </c>
      <c r="Q18" s="13" t="s">
        <v>40</v>
      </c>
      <c r="R18" s="35"/>
      <c r="S18" s="13"/>
      <c r="T18" s="13">
        <v>5</v>
      </c>
      <c r="U18" s="36">
        <v>10</v>
      </c>
      <c r="V18" s="37">
        <f t="shared" si="0"/>
        <v>1.5907</v>
      </c>
      <c r="W18" s="38">
        <f t="shared" si="1"/>
        <v>7.95</v>
      </c>
      <c r="X18" s="40"/>
      <c r="Y18" s="40"/>
      <c r="Z18" s="56"/>
      <c r="AA18" s="11">
        <v>1.48</v>
      </c>
      <c r="AB18" s="40"/>
      <c r="AC18" s="11" t="s">
        <v>141</v>
      </c>
      <c r="AD18" s="15" t="s">
        <v>142</v>
      </c>
      <c r="AE18" s="54" t="s">
        <v>45</v>
      </c>
      <c r="AF18" s="55">
        <f t="shared" si="2"/>
        <v>10.8</v>
      </c>
    </row>
    <row r="19" s="2" customFormat="1" ht="42" customHeight="1" spans="1:32">
      <c r="A19" s="11" t="s">
        <v>137</v>
      </c>
      <c r="B19" s="12" t="s">
        <v>138</v>
      </c>
      <c r="C19" s="13" t="s">
        <v>33</v>
      </c>
      <c r="D19" s="14"/>
      <c r="E19" s="15" t="s">
        <v>143</v>
      </c>
      <c r="F19" s="13" t="s">
        <v>34</v>
      </c>
      <c r="G19" s="13" t="s">
        <v>34</v>
      </c>
      <c r="H19" s="11">
        <v>8480490090</v>
      </c>
      <c r="I19" s="11">
        <v>84804900</v>
      </c>
      <c r="J19" s="23" t="s">
        <v>140</v>
      </c>
      <c r="K19" s="24"/>
      <c r="L19" s="13" t="s">
        <v>36</v>
      </c>
      <c r="M19" s="13" t="s">
        <v>34</v>
      </c>
      <c r="N19" s="13" t="s">
        <v>34</v>
      </c>
      <c r="O19" s="25" t="s">
        <v>128</v>
      </c>
      <c r="P19" s="13" t="s">
        <v>39</v>
      </c>
      <c r="Q19" s="13" t="s">
        <v>40</v>
      </c>
      <c r="R19" s="35"/>
      <c r="S19" s="13"/>
      <c r="T19" s="13">
        <v>5</v>
      </c>
      <c r="U19" s="36">
        <v>15</v>
      </c>
      <c r="V19" s="37">
        <f t="shared" si="0"/>
        <v>2.3861</v>
      </c>
      <c r="W19" s="38">
        <f t="shared" si="1"/>
        <v>11.93</v>
      </c>
      <c r="X19" s="40"/>
      <c r="Y19" s="40"/>
      <c r="Z19" s="56"/>
      <c r="AA19" s="11">
        <v>2.26</v>
      </c>
      <c r="AB19" s="40"/>
      <c r="AC19" s="11" t="s">
        <v>144</v>
      </c>
      <c r="AD19" s="15" t="s">
        <v>142</v>
      </c>
      <c r="AE19" s="54" t="s">
        <v>45</v>
      </c>
      <c r="AF19" s="55">
        <f t="shared" si="2"/>
        <v>16.2</v>
      </c>
    </row>
    <row r="20" s="2" customFormat="1" ht="42" customHeight="1" spans="1:32">
      <c r="A20" s="11" t="s">
        <v>137</v>
      </c>
      <c r="B20" s="12" t="s">
        <v>138</v>
      </c>
      <c r="C20" s="13" t="s">
        <v>33</v>
      </c>
      <c r="D20" s="14"/>
      <c r="E20" s="15" t="s">
        <v>145</v>
      </c>
      <c r="F20" s="13" t="s">
        <v>34</v>
      </c>
      <c r="G20" s="13" t="s">
        <v>34</v>
      </c>
      <c r="H20" s="11">
        <v>8480490090</v>
      </c>
      <c r="I20" s="11">
        <v>84804900</v>
      </c>
      <c r="J20" s="23" t="s">
        <v>140</v>
      </c>
      <c r="K20" s="24"/>
      <c r="L20" s="13" t="s">
        <v>36</v>
      </c>
      <c r="M20" s="13" t="s">
        <v>34</v>
      </c>
      <c r="N20" s="13" t="s">
        <v>34</v>
      </c>
      <c r="O20" s="25" t="s">
        <v>128</v>
      </c>
      <c r="P20" s="13" t="s">
        <v>39</v>
      </c>
      <c r="Q20" s="13" t="s">
        <v>40</v>
      </c>
      <c r="R20" s="35"/>
      <c r="S20" s="13"/>
      <c r="T20" s="13">
        <v>5</v>
      </c>
      <c r="U20" s="36">
        <v>26</v>
      </c>
      <c r="V20" s="37">
        <f t="shared" si="0"/>
        <v>4.1359</v>
      </c>
      <c r="W20" s="38">
        <f t="shared" si="1"/>
        <v>20.68</v>
      </c>
      <c r="X20" s="40"/>
      <c r="Y20" s="40"/>
      <c r="Z20" s="56"/>
      <c r="AA20" s="11">
        <v>4.3</v>
      </c>
      <c r="AB20" s="40"/>
      <c r="AC20" s="11" t="s">
        <v>146</v>
      </c>
      <c r="AD20" s="15" t="s">
        <v>142</v>
      </c>
      <c r="AE20" s="54" t="s">
        <v>45</v>
      </c>
      <c r="AF20" s="55">
        <f t="shared" si="2"/>
        <v>28.08</v>
      </c>
    </row>
    <row r="21" s="2" customFormat="1" ht="42" customHeight="1" spans="1:32">
      <c r="A21" s="11" t="s">
        <v>89</v>
      </c>
      <c r="B21" s="12" t="s">
        <v>96</v>
      </c>
      <c r="C21" s="13" t="s">
        <v>33</v>
      </c>
      <c r="D21" s="14"/>
      <c r="E21" s="15" t="s">
        <v>147</v>
      </c>
      <c r="F21" s="13" t="s">
        <v>34</v>
      </c>
      <c r="G21" s="13" t="s">
        <v>34</v>
      </c>
      <c r="H21" s="11">
        <v>8477900000</v>
      </c>
      <c r="I21" s="11">
        <v>84779032</v>
      </c>
      <c r="J21" s="23" t="s">
        <v>148</v>
      </c>
      <c r="K21" s="24"/>
      <c r="L21" s="13" t="s">
        <v>36</v>
      </c>
      <c r="M21" s="13" t="s">
        <v>34</v>
      </c>
      <c r="N21" s="13" t="s">
        <v>34</v>
      </c>
      <c r="O21" s="25" t="s">
        <v>38</v>
      </c>
      <c r="P21" s="13" t="s">
        <v>39</v>
      </c>
      <c r="Q21" s="13" t="s">
        <v>40</v>
      </c>
      <c r="R21" s="35"/>
      <c r="S21" s="13"/>
      <c r="T21" s="13">
        <v>30</v>
      </c>
      <c r="U21" s="36">
        <v>6</v>
      </c>
      <c r="V21" s="37">
        <f t="shared" si="0"/>
        <v>0.9544</v>
      </c>
      <c r="W21" s="38">
        <f t="shared" si="1"/>
        <v>28.63</v>
      </c>
      <c r="X21" s="40"/>
      <c r="Y21" s="40"/>
      <c r="Z21" s="56"/>
      <c r="AA21" s="11">
        <v>0.18</v>
      </c>
      <c r="AB21" s="40"/>
      <c r="AC21" s="11" t="s">
        <v>149</v>
      </c>
      <c r="AD21" s="15" t="s">
        <v>95</v>
      </c>
      <c r="AE21" s="54" t="s">
        <v>45</v>
      </c>
      <c r="AF21" s="55">
        <f t="shared" si="2"/>
        <v>6.48</v>
      </c>
    </row>
    <row r="22" s="2" customFormat="1" ht="42" customHeight="1" spans="1:32">
      <c r="A22" s="11" t="s">
        <v>150</v>
      </c>
      <c r="B22" s="12" t="s">
        <v>151</v>
      </c>
      <c r="C22" s="13" t="s">
        <v>33</v>
      </c>
      <c r="D22" s="14"/>
      <c r="E22" s="15" t="s">
        <v>152</v>
      </c>
      <c r="F22" s="13" t="s">
        <v>34</v>
      </c>
      <c r="G22" s="13" t="s">
        <v>34</v>
      </c>
      <c r="H22" s="11">
        <v>8477900000</v>
      </c>
      <c r="I22" s="11">
        <v>84779010</v>
      </c>
      <c r="J22" s="23" t="s">
        <v>153</v>
      </c>
      <c r="K22" s="24"/>
      <c r="L22" s="13" t="s">
        <v>36</v>
      </c>
      <c r="M22" s="13" t="s">
        <v>34</v>
      </c>
      <c r="N22" s="13" t="s">
        <v>34</v>
      </c>
      <c r="O22" s="25" t="s">
        <v>38</v>
      </c>
      <c r="P22" s="13" t="s">
        <v>39</v>
      </c>
      <c r="Q22" s="13" t="s">
        <v>40</v>
      </c>
      <c r="R22" s="35"/>
      <c r="S22" s="13"/>
      <c r="T22" s="13">
        <v>6</v>
      </c>
      <c r="U22" s="36">
        <v>6.5</v>
      </c>
      <c r="V22" s="37">
        <f t="shared" si="0"/>
        <v>1.034</v>
      </c>
      <c r="W22" s="38">
        <f t="shared" si="1"/>
        <v>6.2</v>
      </c>
      <c r="X22" s="40"/>
      <c r="Y22" s="40"/>
      <c r="Z22" s="56"/>
      <c r="AA22" s="11">
        <v>0.57</v>
      </c>
      <c r="AB22" s="40"/>
      <c r="AC22" s="11" t="s">
        <v>154</v>
      </c>
      <c r="AD22" s="15" t="s">
        <v>95</v>
      </c>
      <c r="AE22" s="54" t="s">
        <v>45</v>
      </c>
      <c r="AF22" s="55">
        <f t="shared" si="2"/>
        <v>7.02</v>
      </c>
    </row>
    <row r="23" s="2" customFormat="1" ht="42" customHeight="1" spans="1:32">
      <c r="A23" s="11" t="s">
        <v>150</v>
      </c>
      <c r="B23" s="12" t="s">
        <v>151</v>
      </c>
      <c r="C23" s="13" t="s">
        <v>33</v>
      </c>
      <c r="D23" s="14"/>
      <c r="E23" s="15" t="s">
        <v>105</v>
      </c>
      <c r="F23" s="13" t="s">
        <v>34</v>
      </c>
      <c r="G23" s="13" t="s">
        <v>34</v>
      </c>
      <c r="H23" s="11">
        <v>8477900000</v>
      </c>
      <c r="I23" s="11">
        <v>84779010</v>
      </c>
      <c r="J23" s="23" t="s">
        <v>155</v>
      </c>
      <c r="K23" s="24"/>
      <c r="L23" s="13" t="s">
        <v>36</v>
      </c>
      <c r="M23" s="13" t="s">
        <v>34</v>
      </c>
      <c r="N23" s="13" t="s">
        <v>34</v>
      </c>
      <c r="O23" s="25" t="s">
        <v>38</v>
      </c>
      <c r="P23" s="13" t="s">
        <v>39</v>
      </c>
      <c r="Q23" s="13" t="s">
        <v>40</v>
      </c>
      <c r="R23" s="35"/>
      <c r="S23" s="13"/>
      <c r="T23" s="13">
        <v>6</v>
      </c>
      <c r="U23" s="36">
        <v>9.5</v>
      </c>
      <c r="V23" s="37">
        <f t="shared" si="0"/>
        <v>1.5112</v>
      </c>
      <c r="W23" s="38">
        <f t="shared" si="1"/>
        <v>9.07</v>
      </c>
      <c r="X23" s="40"/>
      <c r="Y23" s="40"/>
      <c r="Z23" s="56"/>
      <c r="AA23" s="11">
        <v>0.91</v>
      </c>
      <c r="AB23" s="40"/>
      <c r="AC23" s="11" t="s">
        <v>156</v>
      </c>
      <c r="AD23" s="15" t="s">
        <v>95</v>
      </c>
      <c r="AE23" s="54" t="s">
        <v>45</v>
      </c>
      <c r="AF23" s="55">
        <f t="shared" si="2"/>
        <v>10.26</v>
      </c>
    </row>
    <row r="24" s="2" customFormat="1" ht="42" customHeight="1" spans="1:32">
      <c r="A24" s="11" t="s">
        <v>157</v>
      </c>
      <c r="B24" s="12" t="s">
        <v>158</v>
      </c>
      <c r="C24" s="13" t="s">
        <v>159</v>
      </c>
      <c r="D24" s="14" t="s">
        <v>160</v>
      </c>
      <c r="E24" s="15" t="s">
        <v>34</v>
      </c>
      <c r="F24" s="13" t="s">
        <v>34</v>
      </c>
      <c r="G24" s="13" t="s">
        <v>34</v>
      </c>
      <c r="H24" s="11">
        <v>8205590000</v>
      </c>
      <c r="I24" s="11">
        <v>84861050</v>
      </c>
      <c r="J24" s="23" t="s">
        <v>161</v>
      </c>
      <c r="K24" s="24"/>
      <c r="L24" s="13" t="s">
        <v>36</v>
      </c>
      <c r="M24" s="13" t="s">
        <v>34</v>
      </c>
      <c r="N24" s="13" t="s">
        <v>34</v>
      </c>
      <c r="O24" s="25" t="s">
        <v>38</v>
      </c>
      <c r="P24" s="13" t="s">
        <v>80</v>
      </c>
      <c r="Q24" s="13" t="s">
        <v>40</v>
      </c>
      <c r="R24" s="35"/>
      <c r="S24" s="13"/>
      <c r="T24" s="13">
        <v>1</v>
      </c>
      <c r="U24" s="36">
        <v>165</v>
      </c>
      <c r="V24" s="37">
        <f t="shared" si="0"/>
        <v>26.2468</v>
      </c>
      <c r="W24" s="38">
        <f t="shared" si="1"/>
        <v>26.25</v>
      </c>
      <c r="X24" s="40"/>
      <c r="Y24" s="40"/>
      <c r="Z24" s="56"/>
      <c r="AA24" s="11">
        <v>0.45</v>
      </c>
      <c r="AB24" s="40"/>
      <c r="AC24" s="11" t="s">
        <v>162</v>
      </c>
      <c r="AD24" s="15" t="s">
        <v>95</v>
      </c>
      <c r="AE24" s="54" t="s">
        <v>45</v>
      </c>
      <c r="AF24" s="55">
        <f t="shared" si="2"/>
        <v>178.2</v>
      </c>
    </row>
    <row r="25" s="2" customFormat="1" ht="42" customHeight="1" spans="1:32">
      <c r="A25" s="11" t="s">
        <v>163</v>
      </c>
      <c r="B25" s="12" t="s">
        <v>164</v>
      </c>
      <c r="C25" s="13" t="s">
        <v>165</v>
      </c>
      <c r="D25" s="14"/>
      <c r="E25" s="15" t="s">
        <v>166</v>
      </c>
      <c r="F25" s="13" t="s">
        <v>34</v>
      </c>
      <c r="G25" s="13" t="s">
        <v>34</v>
      </c>
      <c r="H25" s="11">
        <v>8207300090</v>
      </c>
      <c r="I25" s="11">
        <v>82073000</v>
      </c>
      <c r="J25" s="23" t="s">
        <v>167</v>
      </c>
      <c r="K25" s="24"/>
      <c r="L25" s="13" t="s">
        <v>36</v>
      </c>
      <c r="M25" s="13" t="s">
        <v>34</v>
      </c>
      <c r="N25" s="13" t="s">
        <v>34</v>
      </c>
      <c r="O25" s="25" t="s">
        <v>168</v>
      </c>
      <c r="P25" s="13" t="s">
        <v>39</v>
      </c>
      <c r="Q25" s="13" t="s">
        <v>40</v>
      </c>
      <c r="R25" s="35"/>
      <c r="S25" s="13"/>
      <c r="T25" s="13">
        <v>10</v>
      </c>
      <c r="U25" s="36">
        <v>121</v>
      </c>
      <c r="V25" s="37">
        <f>ROUND(U25/1.13*1.08/6.7894,4)</f>
        <v>17.0333</v>
      </c>
      <c r="W25" s="38">
        <f t="shared" si="1"/>
        <v>170.33</v>
      </c>
      <c r="X25" s="41"/>
      <c r="Y25" s="41"/>
      <c r="Z25" s="57"/>
      <c r="AA25" s="11">
        <v>0.07</v>
      </c>
      <c r="AB25" s="41"/>
      <c r="AC25" s="11" t="s">
        <v>169</v>
      </c>
      <c r="AD25" s="15" t="s">
        <v>95</v>
      </c>
      <c r="AE25" s="54" t="s">
        <v>45</v>
      </c>
      <c r="AF25" s="55">
        <f t="shared" si="2"/>
        <v>130.68</v>
      </c>
    </row>
    <row r="26" s="2" customFormat="1" ht="42" customHeight="1" spans="1:32">
      <c r="A26" s="11" t="s">
        <v>170</v>
      </c>
      <c r="B26" s="12" t="s">
        <v>171</v>
      </c>
      <c r="C26" s="13" t="s">
        <v>33</v>
      </c>
      <c r="D26" s="14"/>
      <c r="E26" s="15" t="s">
        <v>172</v>
      </c>
      <c r="F26" s="13" t="s">
        <v>173</v>
      </c>
      <c r="G26" s="13" t="s">
        <v>34</v>
      </c>
      <c r="H26" s="11">
        <v>6914900000</v>
      </c>
      <c r="I26" s="11">
        <v>69149000</v>
      </c>
      <c r="J26" s="23" t="s">
        <v>174</v>
      </c>
      <c r="K26" s="24"/>
      <c r="L26" s="13" t="s">
        <v>175</v>
      </c>
      <c r="M26" s="13" t="s">
        <v>34</v>
      </c>
      <c r="N26" s="13" t="s">
        <v>34</v>
      </c>
      <c r="O26" s="25" t="s">
        <v>176</v>
      </c>
      <c r="P26" s="13" t="s">
        <v>39</v>
      </c>
      <c r="Q26" s="13" t="s">
        <v>40</v>
      </c>
      <c r="R26" s="35"/>
      <c r="S26" s="13"/>
      <c r="T26" s="13">
        <v>5</v>
      </c>
      <c r="U26" s="36">
        <v>145</v>
      </c>
      <c r="V26" s="37">
        <f t="shared" si="0"/>
        <v>23.0654</v>
      </c>
      <c r="W26" s="38">
        <f t="shared" si="1"/>
        <v>115.33</v>
      </c>
      <c r="X26" s="39" t="s">
        <v>177</v>
      </c>
      <c r="Y26" s="39">
        <v>0</v>
      </c>
      <c r="Z26" s="53">
        <v>1.05</v>
      </c>
      <c r="AA26" s="11">
        <v>0.51</v>
      </c>
      <c r="AB26" s="39" t="s">
        <v>178</v>
      </c>
      <c r="AC26" s="11" t="s">
        <v>173</v>
      </c>
      <c r="AD26" s="15" t="s">
        <v>179</v>
      </c>
      <c r="AE26" s="54" t="s">
        <v>45</v>
      </c>
      <c r="AF26" s="55">
        <f t="shared" si="2"/>
        <v>156.6</v>
      </c>
    </row>
    <row r="27" s="2" customFormat="1" ht="42" customHeight="1" spans="1:32">
      <c r="A27" s="11" t="s">
        <v>170</v>
      </c>
      <c r="B27" s="12" t="s">
        <v>171</v>
      </c>
      <c r="C27" s="13" t="s">
        <v>33</v>
      </c>
      <c r="D27" s="14"/>
      <c r="E27" s="15" t="s">
        <v>172</v>
      </c>
      <c r="F27" s="13" t="s">
        <v>180</v>
      </c>
      <c r="G27" s="13" t="s">
        <v>34</v>
      </c>
      <c r="H27" s="11">
        <v>6914900000</v>
      </c>
      <c r="I27" s="11">
        <v>69149000</v>
      </c>
      <c r="J27" s="23" t="s">
        <v>174</v>
      </c>
      <c r="K27" s="24"/>
      <c r="L27" s="13" t="s">
        <v>175</v>
      </c>
      <c r="M27" s="13" t="s">
        <v>34</v>
      </c>
      <c r="N27" s="13" t="s">
        <v>34</v>
      </c>
      <c r="O27" s="25" t="s">
        <v>176</v>
      </c>
      <c r="P27" s="13" t="s">
        <v>39</v>
      </c>
      <c r="Q27" s="13" t="s">
        <v>40</v>
      </c>
      <c r="R27" s="35"/>
      <c r="S27" s="13"/>
      <c r="T27" s="13">
        <v>2</v>
      </c>
      <c r="U27" s="36">
        <v>220</v>
      </c>
      <c r="V27" s="37">
        <f t="shared" si="0"/>
        <v>34.9957</v>
      </c>
      <c r="W27" s="38">
        <f t="shared" si="1"/>
        <v>69.99</v>
      </c>
      <c r="X27" s="41"/>
      <c r="Y27" s="41"/>
      <c r="Z27" s="57"/>
      <c r="AA27" s="11">
        <v>0.31</v>
      </c>
      <c r="AB27" s="41"/>
      <c r="AC27" s="11" t="s">
        <v>180</v>
      </c>
      <c r="AD27" s="15" t="s">
        <v>179</v>
      </c>
      <c r="AE27" s="54" t="s">
        <v>45</v>
      </c>
      <c r="AF27" s="55">
        <f t="shared" si="2"/>
        <v>237.6</v>
      </c>
    </row>
    <row r="28" s="3" customFormat="1" ht="42" customHeight="1" spans="1:32">
      <c r="A28" s="17" t="s">
        <v>181</v>
      </c>
      <c r="B28" s="18" t="s">
        <v>182</v>
      </c>
      <c r="C28" s="19" t="s">
        <v>183</v>
      </c>
      <c r="D28" s="20"/>
      <c r="E28" s="21" t="s">
        <v>184</v>
      </c>
      <c r="F28" s="19" t="s">
        <v>34</v>
      </c>
      <c r="G28" s="19" t="s">
        <v>185</v>
      </c>
      <c r="H28" s="17">
        <v>8466200090</v>
      </c>
      <c r="I28" s="17">
        <v>84662090</v>
      </c>
      <c r="J28" s="27" t="s">
        <v>186</v>
      </c>
      <c r="K28" s="28" t="s">
        <v>187</v>
      </c>
      <c r="L28" s="19" t="s">
        <v>188</v>
      </c>
      <c r="M28" s="19" t="s">
        <v>34</v>
      </c>
      <c r="N28" s="19" t="s">
        <v>34</v>
      </c>
      <c r="O28" s="29">
        <v>46233</v>
      </c>
      <c r="P28" s="19" t="s">
        <v>39</v>
      </c>
      <c r="Q28" s="19" t="s">
        <v>40</v>
      </c>
      <c r="R28" s="44"/>
      <c r="S28" s="19"/>
      <c r="T28" s="19">
        <v>1</v>
      </c>
      <c r="U28" s="45">
        <v>230</v>
      </c>
      <c r="V28" s="46">
        <f>ROUND(U28/1.13*1.08/6.7894,4)</f>
        <v>32.3774</v>
      </c>
      <c r="W28" s="47">
        <f t="shared" si="1"/>
        <v>32.38</v>
      </c>
      <c r="X28" s="48" t="s">
        <v>189</v>
      </c>
      <c r="Y28" s="49">
        <v>1</v>
      </c>
      <c r="Z28" s="58">
        <v>12</v>
      </c>
      <c r="AA28" s="17">
        <v>2.3</v>
      </c>
      <c r="AB28" s="49" t="s">
        <v>190</v>
      </c>
      <c r="AC28" s="17" t="s">
        <v>191</v>
      </c>
      <c r="AD28" s="21" t="s">
        <v>192</v>
      </c>
      <c r="AE28" s="59" t="s">
        <v>45</v>
      </c>
      <c r="AF28" s="60">
        <f>ROUND(U28/1.13*1.08,4)</f>
        <v>219.823</v>
      </c>
    </row>
    <row r="29" s="3" customFormat="1" ht="42" customHeight="1" spans="1:32">
      <c r="A29" s="17" t="s">
        <v>193</v>
      </c>
      <c r="B29" s="18" t="s">
        <v>194</v>
      </c>
      <c r="C29" s="19" t="s">
        <v>183</v>
      </c>
      <c r="D29" s="20"/>
      <c r="E29" s="21" t="s">
        <v>184</v>
      </c>
      <c r="F29" s="19" t="s">
        <v>34</v>
      </c>
      <c r="G29" s="19" t="s">
        <v>195</v>
      </c>
      <c r="H29" s="17">
        <v>8466200090</v>
      </c>
      <c r="I29" s="17">
        <v>84662090</v>
      </c>
      <c r="J29" s="27" t="s">
        <v>186</v>
      </c>
      <c r="K29" s="28" t="s">
        <v>196</v>
      </c>
      <c r="L29" s="19" t="s">
        <v>197</v>
      </c>
      <c r="M29" s="19" t="s">
        <v>34</v>
      </c>
      <c r="N29" s="19" t="s">
        <v>34</v>
      </c>
      <c r="O29" s="29">
        <v>46233</v>
      </c>
      <c r="P29" s="19" t="s">
        <v>39</v>
      </c>
      <c r="Q29" s="19" t="s">
        <v>40</v>
      </c>
      <c r="R29" s="44"/>
      <c r="S29" s="19"/>
      <c r="T29" s="19">
        <v>1</v>
      </c>
      <c r="U29" s="45">
        <v>25</v>
      </c>
      <c r="V29" s="46">
        <f t="shared" ref="V29:V68" si="3">ROUND(U29/1.13*1.08/6.7894,4)</f>
        <v>3.5193</v>
      </c>
      <c r="W29" s="47">
        <f t="shared" si="1"/>
        <v>3.52</v>
      </c>
      <c r="X29" s="49"/>
      <c r="Y29" s="49"/>
      <c r="Z29" s="58"/>
      <c r="AA29" s="17">
        <v>0.21</v>
      </c>
      <c r="AB29" s="49"/>
      <c r="AC29" s="17" t="s">
        <v>198</v>
      </c>
      <c r="AD29" s="21" t="s">
        <v>192</v>
      </c>
      <c r="AE29" s="59" t="s">
        <v>45</v>
      </c>
      <c r="AF29" s="60">
        <f t="shared" ref="AF29:AF64" si="4">ROUND(U29/1.13*1.08,4)</f>
        <v>23.8938</v>
      </c>
    </row>
    <row r="30" s="3" customFormat="1" ht="42" customHeight="1" spans="1:32">
      <c r="A30" s="17" t="s">
        <v>199</v>
      </c>
      <c r="B30" s="18" t="s">
        <v>200</v>
      </c>
      <c r="C30" s="19" t="s">
        <v>183</v>
      </c>
      <c r="D30" s="20"/>
      <c r="E30" s="21" t="s">
        <v>184</v>
      </c>
      <c r="F30" s="19" t="s">
        <v>34</v>
      </c>
      <c r="G30" s="19" t="s">
        <v>201</v>
      </c>
      <c r="H30" s="17">
        <v>8466200090</v>
      </c>
      <c r="I30" s="17">
        <v>84662090</v>
      </c>
      <c r="J30" s="27" t="s">
        <v>186</v>
      </c>
      <c r="K30" s="28" t="s">
        <v>202</v>
      </c>
      <c r="L30" s="19" t="s">
        <v>36</v>
      </c>
      <c r="M30" s="19" t="s">
        <v>34</v>
      </c>
      <c r="N30" s="19" t="s">
        <v>34</v>
      </c>
      <c r="O30" s="29">
        <v>46233</v>
      </c>
      <c r="P30" s="19" t="s">
        <v>39</v>
      </c>
      <c r="Q30" s="19" t="s">
        <v>40</v>
      </c>
      <c r="R30" s="44"/>
      <c r="S30" s="19"/>
      <c r="T30" s="19">
        <v>1</v>
      </c>
      <c r="U30" s="45">
        <v>30</v>
      </c>
      <c r="V30" s="46">
        <f t="shared" si="3"/>
        <v>4.2231</v>
      </c>
      <c r="W30" s="47">
        <f t="shared" si="1"/>
        <v>4.22</v>
      </c>
      <c r="X30" s="49"/>
      <c r="Y30" s="49"/>
      <c r="Z30" s="58"/>
      <c r="AA30" s="17">
        <v>0.09</v>
      </c>
      <c r="AB30" s="49"/>
      <c r="AC30" s="17" t="s">
        <v>203</v>
      </c>
      <c r="AD30" s="21" t="s">
        <v>192</v>
      </c>
      <c r="AE30" s="59" t="s">
        <v>45</v>
      </c>
      <c r="AF30" s="60">
        <f t="shared" si="4"/>
        <v>28.6726</v>
      </c>
    </row>
    <row r="31" s="3" customFormat="1" ht="42" customHeight="1" spans="1:32">
      <c r="A31" s="17" t="s">
        <v>204</v>
      </c>
      <c r="B31" s="18" t="s">
        <v>205</v>
      </c>
      <c r="C31" s="19" t="s">
        <v>183</v>
      </c>
      <c r="D31" s="20"/>
      <c r="E31" s="21" t="s">
        <v>206</v>
      </c>
      <c r="F31" s="19" t="s">
        <v>34</v>
      </c>
      <c r="G31" s="19" t="s">
        <v>207</v>
      </c>
      <c r="H31" s="22">
        <v>7326901990</v>
      </c>
      <c r="I31" s="22">
        <v>73269099</v>
      </c>
      <c r="J31" s="27" t="s">
        <v>208</v>
      </c>
      <c r="K31" s="28" t="s">
        <v>209</v>
      </c>
      <c r="L31" s="19" t="s">
        <v>36</v>
      </c>
      <c r="M31" s="19" t="s">
        <v>34</v>
      </c>
      <c r="N31" s="19" t="s">
        <v>34</v>
      </c>
      <c r="O31" s="29">
        <v>46233</v>
      </c>
      <c r="P31" s="19" t="s">
        <v>39</v>
      </c>
      <c r="Q31" s="19" t="s">
        <v>40</v>
      </c>
      <c r="R31" s="44"/>
      <c r="S31" s="19"/>
      <c r="T31" s="19">
        <v>20</v>
      </c>
      <c r="U31" s="45">
        <v>15</v>
      </c>
      <c r="V31" s="46">
        <f t="shared" si="3"/>
        <v>2.1116</v>
      </c>
      <c r="W31" s="47">
        <f t="shared" si="1"/>
        <v>42.23</v>
      </c>
      <c r="X31" s="49"/>
      <c r="Y31" s="49"/>
      <c r="Z31" s="58"/>
      <c r="AA31" s="17">
        <v>1.2</v>
      </c>
      <c r="AB31" s="49"/>
      <c r="AC31" s="17" t="s">
        <v>210</v>
      </c>
      <c r="AD31" s="21" t="s">
        <v>192</v>
      </c>
      <c r="AE31" s="59" t="s">
        <v>45</v>
      </c>
      <c r="AF31" s="60">
        <f t="shared" si="4"/>
        <v>14.3363</v>
      </c>
    </row>
    <row r="32" s="3" customFormat="1" ht="42" customHeight="1" spans="1:32">
      <c r="A32" s="17" t="s">
        <v>211</v>
      </c>
      <c r="B32" s="18" t="s">
        <v>212</v>
      </c>
      <c r="C32" s="19" t="s">
        <v>183</v>
      </c>
      <c r="D32" s="20"/>
      <c r="E32" s="21" t="s">
        <v>213</v>
      </c>
      <c r="F32" s="19" t="s">
        <v>34</v>
      </c>
      <c r="G32" s="19" t="s">
        <v>214</v>
      </c>
      <c r="H32" s="17">
        <v>8466200090</v>
      </c>
      <c r="I32" s="17">
        <v>84662090</v>
      </c>
      <c r="J32" s="27" t="s">
        <v>215</v>
      </c>
      <c r="K32" s="28" t="s">
        <v>209</v>
      </c>
      <c r="L32" s="19" t="s">
        <v>216</v>
      </c>
      <c r="M32" s="19" t="s">
        <v>34</v>
      </c>
      <c r="N32" s="19" t="s">
        <v>34</v>
      </c>
      <c r="O32" s="29">
        <v>46233</v>
      </c>
      <c r="P32" s="19" t="s">
        <v>39</v>
      </c>
      <c r="Q32" s="19" t="s">
        <v>40</v>
      </c>
      <c r="R32" s="44"/>
      <c r="S32" s="19"/>
      <c r="T32" s="19">
        <v>40</v>
      </c>
      <c r="U32" s="45">
        <v>11</v>
      </c>
      <c r="V32" s="46">
        <f t="shared" si="3"/>
        <v>1.5485</v>
      </c>
      <c r="W32" s="47">
        <f t="shared" si="1"/>
        <v>61.94</v>
      </c>
      <c r="X32" s="49"/>
      <c r="Y32" s="49"/>
      <c r="Z32" s="58"/>
      <c r="AA32" s="17">
        <v>0.67</v>
      </c>
      <c r="AB32" s="49"/>
      <c r="AC32" s="17" t="s">
        <v>217</v>
      </c>
      <c r="AD32" s="21" t="s">
        <v>192</v>
      </c>
      <c r="AE32" s="59" t="s">
        <v>45</v>
      </c>
      <c r="AF32" s="60">
        <f t="shared" si="4"/>
        <v>10.5133</v>
      </c>
    </row>
    <row r="33" s="3" customFormat="1" ht="42" customHeight="1" spans="1:32">
      <c r="A33" s="17" t="s">
        <v>218</v>
      </c>
      <c r="B33" s="18" t="s">
        <v>219</v>
      </c>
      <c r="C33" s="19" t="s">
        <v>183</v>
      </c>
      <c r="D33" s="20"/>
      <c r="E33" s="21" t="s">
        <v>213</v>
      </c>
      <c r="F33" s="19" t="s">
        <v>34</v>
      </c>
      <c r="G33" s="19" t="s">
        <v>220</v>
      </c>
      <c r="H33" s="17">
        <v>8504401990</v>
      </c>
      <c r="I33" s="17">
        <v>85044019</v>
      </c>
      <c r="J33" s="27" t="s">
        <v>221</v>
      </c>
      <c r="K33" s="30" t="s">
        <v>222</v>
      </c>
      <c r="L33" s="19" t="s">
        <v>223</v>
      </c>
      <c r="M33" s="19" t="s">
        <v>224</v>
      </c>
      <c r="N33" s="19" t="s">
        <v>225</v>
      </c>
      <c r="O33" s="29">
        <v>46233</v>
      </c>
      <c r="P33" s="19" t="s">
        <v>39</v>
      </c>
      <c r="Q33" s="19" t="s">
        <v>40</v>
      </c>
      <c r="R33" s="44"/>
      <c r="S33" s="19"/>
      <c r="T33" s="19">
        <v>1</v>
      </c>
      <c r="U33" s="45">
        <v>80</v>
      </c>
      <c r="V33" s="46">
        <f t="shared" si="3"/>
        <v>11.2617</v>
      </c>
      <c r="W33" s="47">
        <f t="shared" si="1"/>
        <v>11.26</v>
      </c>
      <c r="X33" s="49"/>
      <c r="Y33" s="49"/>
      <c r="Z33" s="58"/>
      <c r="AA33" s="17">
        <v>1.4</v>
      </c>
      <c r="AB33" s="49"/>
      <c r="AC33" s="17" t="s">
        <v>226</v>
      </c>
      <c r="AD33" s="21" t="s">
        <v>227</v>
      </c>
      <c r="AE33" s="59" t="s">
        <v>45</v>
      </c>
      <c r="AF33" s="60">
        <f t="shared" si="4"/>
        <v>76.4602</v>
      </c>
    </row>
    <row r="34" s="3" customFormat="1" ht="42" customHeight="1" spans="1:32">
      <c r="A34" s="17" t="s">
        <v>228</v>
      </c>
      <c r="B34" s="18" t="s">
        <v>229</v>
      </c>
      <c r="C34" s="19" t="s">
        <v>183</v>
      </c>
      <c r="D34" s="20"/>
      <c r="E34" s="21" t="s">
        <v>230</v>
      </c>
      <c r="F34" s="19" t="s">
        <v>34</v>
      </c>
      <c r="G34" s="19" t="s">
        <v>231</v>
      </c>
      <c r="H34" s="17">
        <v>9030899090</v>
      </c>
      <c r="I34" s="17">
        <v>90308910</v>
      </c>
      <c r="J34" s="27" t="s">
        <v>232</v>
      </c>
      <c r="K34" s="28" t="s">
        <v>233</v>
      </c>
      <c r="L34" s="19" t="s">
        <v>234</v>
      </c>
      <c r="M34" s="19" t="s">
        <v>235</v>
      </c>
      <c r="N34" s="19" t="s">
        <v>236</v>
      </c>
      <c r="O34" s="29">
        <v>46233</v>
      </c>
      <c r="P34" s="19" t="s">
        <v>39</v>
      </c>
      <c r="Q34" s="19" t="s">
        <v>40</v>
      </c>
      <c r="R34" s="44"/>
      <c r="S34" s="19"/>
      <c r="T34" s="19">
        <v>1</v>
      </c>
      <c r="U34" s="45">
        <v>150</v>
      </c>
      <c r="V34" s="46">
        <f t="shared" si="3"/>
        <v>21.1157</v>
      </c>
      <c r="W34" s="47">
        <f t="shared" si="1"/>
        <v>21.12</v>
      </c>
      <c r="X34" s="49"/>
      <c r="Y34" s="49"/>
      <c r="Z34" s="58"/>
      <c r="AA34" s="17">
        <v>0.5</v>
      </c>
      <c r="AB34" s="49"/>
      <c r="AC34" s="17" t="s">
        <v>237</v>
      </c>
      <c r="AD34" s="21" t="s">
        <v>227</v>
      </c>
      <c r="AE34" s="59" t="s">
        <v>45</v>
      </c>
      <c r="AF34" s="60">
        <f t="shared" si="4"/>
        <v>143.3628</v>
      </c>
    </row>
    <row r="35" s="3" customFormat="1" ht="42" customHeight="1" spans="1:32">
      <c r="A35" s="17" t="s">
        <v>228</v>
      </c>
      <c r="B35" s="18" t="s">
        <v>229</v>
      </c>
      <c r="C35" s="19" t="s">
        <v>183</v>
      </c>
      <c r="D35" s="20"/>
      <c r="E35" s="21" t="s">
        <v>238</v>
      </c>
      <c r="F35" s="19" t="s">
        <v>34</v>
      </c>
      <c r="G35" s="19" t="s">
        <v>239</v>
      </c>
      <c r="H35" s="17">
        <v>9030899090</v>
      </c>
      <c r="I35" s="17">
        <v>90308910</v>
      </c>
      <c r="J35" s="27" t="s">
        <v>240</v>
      </c>
      <c r="K35" s="28" t="s">
        <v>241</v>
      </c>
      <c r="L35" s="19" t="s">
        <v>223</v>
      </c>
      <c r="M35" s="19" t="s">
        <v>242</v>
      </c>
      <c r="N35" s="19" t="s">
        <v>236</v>
      </c>
      <c r="O35" s="29">
        <v>46233</v>
      </c>
      <c r="P35" s="19" t="s">
        <v>39</v>
      </c>
      <c r="Q35" s="19" t="s">
        <v>40</v>
      </c>
      <c r="R35" s="44"/>
      <c r="S35" s="19"/>
      <c r="T35" s="19">
        <v>1</v>
      </c>
      <c r="U35" s="45">
        <v>130</v>
      </c>
      <c r="V35" s="46">
        <f t="shared" si="3"/>
        <v>18.3003</v>
      </c>
      <c r="W35" s="47">
        <f t="shared" si="1"/>
        <v>18.3</v>
      </c>
      <c r="X35" s="49"/>
      <c r="Y35" s="49"/>
      <c r="Z35" s="58"/>
      <c r="AA35" s="17">
        <v>0.95</v>
      </c>
      <c r="AB35" s="49"/>
      <c r="AC35" s="17" t="s">
        <v>243</v>
      </c>
      <c r="AD35" s="21" t="s">
        <v>227</v>
      </c>
      <c r="AE35" s="59" t="s">
        <v>45</v>
      </c>
      <c r="AF35" s="60">
        <f t="shared" si="4"/>
        <v>124.2478</v>
      </c>
    </row>
    <row r="36" s="3" customFormat="1" ht="42" customHeight="1" spans="1:32">
      <c r="A36" s="17" t="s">
        <v>244</v>
      </c>
      <c r="B36" s="18" t="s">
        <v>245</v>
      </c>
      <c r="C36" s="19" t="s">
        <v>183</v>
      </c>
      <c r="D36" s="20"/>
      <c r="E36" s="21" t="s">
        <v>246</v>
      </c>
      <c r="F36" s="19" t="s">
        <v>34</v>
      </c>
      <c r="G36" s="19" t="s">
        <v>247</v>
      </c>
      <c r="H36" s="17">
        <v>9030899090</v>
      </c>
      <c r="I36" s="17">
        <v>90308410</v>
      </c>
      <c r="J36" s="27" t="s">
        <v>248</v>
      </c>
      <c r="K36" s="28" t="s">
        <v>249</v>
      </c>
      <c r="L36" s="19" t="s">
        <v>250</v>
      </c>
      <c r="M36" s="19" t="s">
        <v>34</v>
      </c>
      <c r="N36" s="19" t="s">
        <v>34</v>
      </c>
      <c r="O36" s="29">
        <v>46233</v>
      </c>
      <c r="P36" s="19" t="s">
        <v>39</v>
      </c>
      <c r="Q36" s="19" t="s">
        <v>40</v>
      </c>
      <c r="R36" s="44"/>
      <c r="S36" s="19"/>
      <c r="T36" s="19">
        <v>2</v>
      </c>
      <c r="U36" s="45">
        <v>180</v>
      </c>
      <c r="V36" s="46">
        <f t="shared" si="3"/>
        <v>25.3388</v>
      </c>
      <c r="W36" s="47">
        <f t="shared" si="1"/>
        <v>50.68</v>
      </c>
      <c r="X36" s="49"/>
      <c r="Y36" s="49"/>
      <c r="Z36" s="58"/>
      <c r="AA36" s="17">
        <v>2.3</v>
      </c>
      <c r="AB36" s="49"/>
      <c r="AC36" s="17" t="s">
        <v>251</v>
      </c>
      <c r="AD36" s="21" t="s">
        <v>227</v>
      </c>
      <c r="AE36" s="59" t="s">
        <v>45</v>
      </c>
      <c r="AF36" s="60">
        <f t="shared" si="4"/>
        <v>172.0354</v>
      </c>
    </row>
    <row r="37" s="3" customFormat="1" ht="42" customHeight="1" spans="1:32">
      <c r="A37" s="17" t="s">
        <v>252</v>
      </c>
      <c r="B37" s="18" t="s">
        <v>253</v>
      </c>
      <c r="C37" s="19" t="s">
        <v>254</v>
      </c>
      <c r="D37" s="20"/>
      <c r="E37" s="21" t="s">
        <v>255</v>
      </c>
      <c r="F37" s="19" t="s">
        <v>34</v>
      </c>
      <c r="G37" s="19" t="s">
        <v>34</v>
      </c>
      <c r="H37" s="17">
        <v>8538900000</v>
      </c>
      <c r="I37" s="17">
        <v>85389019</v>
      </c>
      <c r="J37" s="27" t="s">
        <v>256</v>
      </c>
      <c r="K37" s="28" t="s">
        <v>257</v>
      </c>
      <c r="L37" s="19" t="s">
        <v>258</v>
      </c>
      <c r="M37" s="19" t="s">
        <v>34</v>
      </c>
      <c r="N37" s="19" t="s">
        <v>34</v>
      </c>
      <c r="O37" s="29">
        <v>46162</v>
      </c>
      <c r="P37" s="19" t="s">
        <v>39</v>
      </c>
      <c r="Q37" s="19" t="s">
        <v>40</v>
      </c>
      <c r="R37" s="44"/>
      <c r="S37" s="19"/>
      <c r="T37" s="19">
        <v>50</v>
      </c>
      <c r="U37" s="45">
        <v>1.6</v>
      </c>
      <c r="V37" s="46">
        <f t="shared" si="3"/>
        <v>0.2252</v>
      </c>
      <c r="W37" s="47">
        <f t="shared" si="1"/>
        <v>11.26</v>
      </c>
      <c r="X37" s="50"/>
      <c r="Y37" s="50"/>
      <c r="Z37" s="61"/>
      <c r="AA37" s="17">
        <v>0.4</v>
      </c>
      <c r="AB37" s="50"/>
      <c r="AC37" s="17" t="s">
        <v>259</v>
      </c>
      <c r="AD37" s="21" t="s">
        <v>260</v>
      </c>
      <c r="AE37" s="59" t="s">
        <v>45</v>
      </c>
      <c r="AF37" s="60">
        <f t="shared" si="4"/>
        <v>1.5292</v>
      </c>
    </row>
    <row r="38" s="3" customFormat="1" ht="42" customHeight="1" spans="1:32">
      <c r="A38" s="17" t="s">
        <v>261</v>
      </c>
      <c r="B38" s="18" t="s">
        <v>262</v>
      </c>
      <c r="C38" s="19" t="s">
        <v>183</v>
      </c>
      <c r="D38" s="20"/>
      <c r="E38" s="21" t="s">
        <v>263</v>
      </c>
      <c r="F38" s="19" t="s">
        <v>34</v>
      </c>
      <c r="G38" s="19" t="s">
        <v>264</v>
      </c>
      <c r="H38" s="17">
        <v>8466200090</v>
      </c>
      <c r="I38" s="17">
        <v>84662090</v>
      </c>
      <c r="J38" s="27" t="s">
        <v>265</v>
      </c>
      <c r="K38" s="28" t="s">
        <v>266</v>
      </c>
      <c r="L38" s="19" t="s">
        <v>197</v>
      </c>
      <c r="M38" s="19" t="s">
        <v>34</v>
      </c>
      <c r="N38" s="19" t="s">
        <v>34</v>
      </c>
      <c r="O38" s="29">
        <v>46232</v>
      </c>
      <c r="P38" s="19" t="s">
        <v>39</v>
      </c>
      <c r="Q38" s="19" t="s">
        <v>40</v>
      </c>
      <c r="R38" s="44"/>
      <c r="S38" s="19"/>
      <c r="T38" s="19">
        <v>12</v>
      </c>
      <c r="U38" s="45">
        <v>50</v>
      </c>
      <c r="V38" s="46">
        <f t="shared" si="3"/>
        <v>7.0386</v>
      </c>
      <c r="W38" s="47">
        <f t="shared" si="1"/>
        <v>84.46</v>
      </c>
      <c r="X38" s="48" t="s">
        <v>267</v>
      </c>
      <c r="Y38" s="49">
        <v>1</v>
      </c>
      <c r="Z38" s="58">
        <v>11.7</v>
      </c>
      <c r="AA38" s="17">
        <v>3.6</v>
      </c>
      <c r="AB38" s="49" t="s">
        <v>268</v>
      </c>
      <c r="AC38" s="17" t="s">
        <v>269</v>
      </c>
      <c r="AD38" s="21" t="s">
        <v>270</v>
      </c>
      <c r="AE38" s="59" t="s">
        <v>45</v>
      </c>
      <c r="AF38" s="60">
        <f t="shared" si="4"/>
        <v>47.7876</v>
      </c>
    </row>
    <row r="39" s="3" customFormat="1" ht="42" customHeight="1" spans="1:32">
      <c r="A39" s="17" t="s">
        <v>271</v>
      </c>
      <c r="B39" s="18" t="s">
        <v>272</v>
      </c>
      <c r="C39" s="19" t="s">
        <v>183</v>
      </c>
      <c r="D39" s="20"/>
      <c r="E39" s="21" t="s">
        <v>263</v>
      </c>
      <c r="F39" s="19" t="s">
        <v>34</v>
      </c>
      <c r="G39" s="19" t="s">
        <v>273</v>
      </c>
      <c r="H39" s="17">
        <v>8466200090</v>
      </c>
      <c r="I39" s="17">
        <v>84662090</v>
      </c>
      <c r="J39" s="27" t="s">
        <v>265</v>
      </c>
      <c r="K39" s="28" t="s">
        <v>266</v>
      </c>
      <c r="L39" s="19" t="s">
        <v>197</v>
      </c>
      <c r="M39" s="19" t="s">
        <v>34</v>
      </c>
      <c r="N39" s="19" t="s">
        <v>34</v>
      </c>
      <c r="O39" s="29">
        <v>46232</v>
      </c>
      <c r="P39" s="19" t="s">
        <v>39</v>
      </c>
      <c r="Q39" s="19" t="s">
        <v>40</v>
      </c>
      <c r="R39" s="44"/>
      <c r="S39" s="19"/>
      <c r="T39" s="19">
        <v>2</v>
      </c>
      <c r="U39" s="45">
        <v>50</v>
      </c>
      <c r="V39" s="46">
        <f t="shared" si="3"/>
        <v>7.0386</v>
      </c>
      <c r="W39" s="47">
        <f t="shared" si="1"/>
        <v>14.08</v>
      </c>
      <c r="X39" s="49"/>
      <c r="Y39" s="49"/>
      <c r="Z39" s="58"/>
      <c r="AA39" s="17">
        <v>0.4</v>
      </c>
      <c r="AB39" s="49"/>
      <c r="AC39" s="17" t="s">
        <v>274</v>
      </c>
      <c r="AD39" s="21" t="s">
        <v>270</v>
      </c>
      <c r="AE39" s="59" t="s">
        <v>45</v>
      </c>
      <c r="AF39" s="60">
        <f t="shared" si="4"/>
        <v>47.7876</v>
      </c>
    </row>
    <row r="40" s="3" customFormat="1" ht="42" customHeight="1" spans="1:32">
      <c r="A40" s="17" t="s">
        <v>275</v>
      </c>
      <c r="B40" s="18" t="s">
        <v>276</v>
      </c>
      <c r="C40" s="19" t="s">
        <v>183</v>
      </c>
      <c r="D40" s="20"/>
      <c r="E40" s="21" t="s">
        <v>263</v>
      </c>
      <c r="F40" s="19" t="s">
        <v>34</v>
      </c>
      <c r="G40" s="19" t="s">
        <v>277</v>
      </c>
      <c r="H40" s="17">
        <v>8466200090</v>
      </c>
      <c r="I40" s="17">
        <v>84662090</v>
      </c>
      <c r="J40" s="27" t="s">
        <v>265</v>
      </c>
      <c r="K40" s="28" t="s">
        <v>209</v>
      </c>
      <c r="L40" s="19" t="s">
        <v>216</v>
      </c>
      <c r="M40" s="19" t="s">
        <v>34</v>
      </c>
      <c r="N40" s="19" t="s">
        <v>34</v>
      </c>
      <c r="O40" s="29">
        <v>46232</v>
      </c>
      <c r="P40" s="19" t="s">
        <v>39</v>
      </c>
      <c r="Q40" s="19" t="s">
        <v>40</v>
      </c>
      <c r="R40" s="44"/>
      <c r="S40" s="19"/>
      <c r="T40" s="19">
        <v>1</v>
      </c>
      <c r="U40" s="45">
        <v>300</v>
      </c>
      <c r="V40" s="46">
        <f t="shared" si="3"/>
        <v>42.2314</v>
      </c>
      <c r="W40" s="47">
        <f t="shared" si="1"/>
        <v>42.23</v>
      </c>
      <c r="X40" s="49"/>
      <c r="Y40" s="49"/>
      <c r="Z40" s="58"/>
      <c r="AA40" s="17">
        <v>3.2</v>
      </c>
      <c r="AB40" s="49"/>
      <c r="AC40" s="17" t="s">
        <v>278</v>
      </c>
      <c r="AD40" s="21" t="s">
        <v>270</v>
      </c>
      <c r="AE40" s="59" t="s">
        <v>45</v>
      </c>
      <c r="AF40" s="60">
        <f t="shared" si="4"/>
        <v>286.7257</v>
      </c>
    </row>
    <row r="41" s="3" customFormat="1" ht="51" customHeight="1" spans="1:32">
      <c r="A41" s="17" t="s">
        <v>279</v>
      </c>
      <c r="B41" s="18" t="s">
        <v>280</v>
      </c>
      <c r="C41" s="19" t="s">
        <v>183</v>
      </c>
      <c r="D41" s="20"/>
      <c r="E41" s="21" t="s">
        <v>263</v>
      </c>
      <c r="F41" s="19" t="s">
        <v>34</v>
      </c>
      <c r="G41" s="19" t="s">
        <v>281</v>
      </c>
      <c r="H41" s="17">
        <v>8466200090</v>
      </c>
      <c r="I41" s="17">
        <v>84662090</v>
      </c>
      <c r="J41" s="27" t="s">
        <v>265</v>
      </c>
      <c r="K41" s="28" t="s">
        <v>266</v>
      </c>
      <c r="L41" s="19" t="s">
        <v>197</v>
      </c>
      <c r="M41" s="19" t="s">
        <v>34</v>
      </c>
      <c r="N41" s="19" t="s">
        <v>34</v>
      </c>
      <c r="O41" s="29">
        <v>46232</v>
      </c>
      <c r="P41" s="19" t="s">
        <v>39</v>
      </c>
      <c r="Q41" s="19" t="s">
        <v>40</v>
      </c>
      <c r="R41" s="44"/>
      <c r="S41" s="19"/>
      <c r="T41" s="19">
        <v>5</v>
      </c>
      <c r="U41" s="45">
        <v>40</v>
      </c>
      <c r="V41" s="46">
        <f t="shared" si="3"/>
        <v>5.6308</v>
      </c>
      <c r="W41" s="47">
        <f t="shared" si="1"/>
        <v>28.15</v>
      </c>
      <c r="X41" s="49"/>
      <c r="Y41" s="49"/>
      <c r="Z41" s="58"/>
      <c r="AA41" s="17">
        <v>1</v>
      </c>
      <c r="AB41" s="49"/>
      <c r="AC41" s="17" t="s">
        <v>282</v>
      </c>
      <c r="AD41" s="21" t="s">
        <v>270</v>
      </c>
      <c r="AE41" s="59" t="s">
        <v>45</v>
      </c>
      <c r="AF41" s="60">
        <f t="shared" si="4"/>
        <v>38.2301</v>
      </c>
    </row>
    <row r="42" s="3" customFormat="1" ht="42" customHeight="1" spans="1:32">
      <c r="A42" s="17" t="s">
        <v>283</v>
      </c>
      <c r="B42" s="18" t="s">
        <v>284</v>
      </c>
      <c r="C42" s="19" t="s">
        <v>183</v>
      </c>
      <c r="D42" s="20"/>
      <c r="E42" s="21" t="s">
        <v>263</v>
      </c>
      <c r="F42" s="19" t="s">
        <v>34</v>
      </c>
      <c r="G42" s="19" t="s">
        <v>285</v>
      </c>
      <c r="H42" s="17">
        <v>8466200090</v>
      </c>
      <c r="I42" s="17">
        <v>84662090</v>
      </c>
      <c r="J42" s="27" t="s">
        <v>265</v>
      </c>
      <c r="K42" s="28" t="s">
        <v>266</v>
      </c>
      <c r="L42" s="19" t="s">
        <v>197</v>
      </c>
      <c r="M42" s="19" t="s">
        <v>34</v>
      </c>
      <c r="N42" s="19" t="s">
        <v>34</v>
      </c>
      <c r="O42" s="29">
        <v>46232</v>
      </c>
      <c r="P42" s="19" t="s">
        <v>39</v>
      </c>
      <c r="Q42" s="19" t="s">
        <v>40</v>
      </c>
      <c r="R42" s="44"/>
      <c r="S42" s="19"/>
      <c r="T42" s="19">
        <v>1</v>
      </c>
      <c r="U42" s="45">
        <v>50</v>
      </c>
      <c r="V42" s="46">
        <f t="shared" si="3"/>
        <v>7.0386</v>
      </c>
      <c r="W42" s="47">
        <f t="shared" si="1"/>
        <v>7.04</v>
      </c>
      <c r="X42" s="49"/>
      <c r="Y42" s="49"/>
      <c r="Z42" s="58"/>
      <c r="AA42" s="17">
        <v>0.2</v>
      </c>
      <c r="AB42" s="49"/>
      <c r="AC42" s="17" t="s">
        <v>286</v>
      </c>
      <c r="AD42" s="21" t="s">
        <v>270</v>
      </c>
      <c r="AE42" s="59" t="s">
        <v>45</v>
      </c>
      <c r="AF42" s="60">
        <f t="shared" si="4"/>
        <v>47.7876</v>
      </c>
    </row>
    <row r="43" s="3" customFormat="1" ht="42" customHeight="1" spans="1:32">
      <c r="A43" s="17" t="s">
        <v>287</v>
      </c>
      <c r="B43" s="18" t="s">
        <v>288</v>
      </c>
      <c r="C43" s="19" t="s">
        <v>183</v>
      </c>
      <c r="D43" s="20"/>
      <c r="E43" s="21" t="s">
        <v>263</v>
      </c>
      <c r="F43" s="19" t="s">
        <v>34</v>
      </c>
      <c r="G43" s="19" t="s">
        <v>289</v>
      </c>
      <c r="H43" s="17">
        <v>8466200090</v>
      </c>
      <c r="I43" s="17">
        <v>84662090</v>
      </c>
      <c r="J43" s="27" t="s">
        <v>265</v>
      </c>
      <c r="K43" s="28" t="s">
        <v>266</v>
      </c>
      <c r="L43" s="19" t="s">
        <v>197</v>
      </c>
      <c r="M43" s="19" t="s">
        <v>34</v>
      </c>
      <c r="N43" s="19" t="s">
        <v>34</v>
      </c>
      <c r="O43" s="29">
        <v>46232</v>
      </c>
      <c r="P43" s="19" t="s">
        <v>39</v>
      </c>
      <c r="Q43" s="19" t="s">
        <v>40</v>
      </c>
      <c r="R43" s="44"/>
      <c r="S43" s="19"/>
      <c r="T43" s="19">
        <v>1</v>
      </c>
      <c r="U43" s="45">
        <v>50</v>
      </c>
      <c r="V43" s="46">
        <f t="shared" si="3"/>
        <v>7.0386</v>
      </c>
      <c r="W43" s="47">
        <f t="shared" si="1"/>
        <v>7.04</v>
      </c>
      <c r="X43" s="49"/>
      <c r="Y43" s="49"/>
      <c r="Z43" s="58"/>
      <c r="AA43" s="17">
        <v>0.3</v>
      </c>
      <c r="AB43" s="49"/>
      <c r="AC43" s="17" t="s">
        <v>290</v>
      </c>
      <c r="AD43" s="21" t="s">
        <v>270</v>
      </c>
      <c r="AE43" s="59" t="s">
        <v>45</v>
      </c>
      <c r="AF43" s="60">
        <f t="shared" si="4"/>
        <v>47.7876</v>
      </c>
    </row>
    <row r="44" s="3" customFormat="1" ht="42" customHeight="1" spans="1:32">
      <c r="A44" s="17" t="s">
        <v>291</v>
      </c>
      <c r="B44" s="18" t="s">
        <v>292</v>
      </c>
      <c r="C44" s="19" t="s">
        <v>183</v>
      </c>
      <c r="D44" s="20"/>
      <c r="E44" s="21" t="s">
        <v>263</v>
      </c>
      <c r="F44" s="19" t="s">
        <v>34</v>
      </c>
      <c r="G44" s="19" t="s">
        <v>293</v>
      </c>
      <c r="H44" s="17">
        <v>8466200090</v>
      </c>
      <c r="I44" s="17">
        <v>84662090</v>
      </c>
      <c r="J44" s="27" t="s">
        <v>265</v>
      </c>
      <c r="K44" s="28" t="s">
        <v>266</v>
      </c>
      <c r="L44" s="19" t="s">
        <v>197</v>
      </c>
      <c r="M44" s="19" t="s">
        <v>34</v>
      </c>
      <c r="N44" s="19" t="s">
        <v>34</v>
      </c>
      <c r="O44" s="29">
        <v>46232</v>
      </c>
      <c r="P44" s="19" t="s">
        <v>39</v>
      </c>
      <c r="Q44" s="19" t="s">
        <v>40</v>
      </c>
      <c r="R44" s="44"/>
      <c r="S44" s="19"/>
      <c r="T44" s="19">
        <v>1</v>
      </c>
      <c r="U44" s="45">
        <v>50</v>
      </c>
      <c r="V44" s="46">
        <f t="shared" si="3"/>
        <v>7.0386</v>
      </c>
      <c r="W44" s="47">
        <f t="shared" si="1"/>
        <v>7.04</v>
      </c>
      <c r="X44" s="49"/>
      <c r="Y44" s="49"/>
      <c r="Z44" s="58"/>
      <c r="AA44" s="17">
        <v>0.2</v>
      </c>
      <c r="AB44" s="49"/>
      <c r="AC44" s="17" t="s">
        <v>294</v>
      </c>
      <c r="AD44" s="21" t="s">
        <v>270</v>
      </c>
      <c r="AE44" s="59" t="s">
        <v>45</v>
      </c>
      <c r="AF44" s="60">
        <f t="shared" si="4"/>
        <v>47.7876</v>
      </c>
    </row>
    <row r="45" s="3" customFormat="1" ht="42" customHeight="1" spans="1:32">
      <c r="A45" s="17" t="s">
        <v>295</v>
      </c>
      <c r="B45" s="18" t="s">
        <v>296</v>
      </c>
      <c r="C45" s="19" t="s">
        <v>183</v>
      </c>
      <c r="D45" s="20"/>
      <c r="E45" s="21" t="s">
        <v>263</v>
      </c>
      <c r="F45" s="19" t="s">
        <v>34</v>
      </c>
      <c r="G45" s="19" t="s">
        <v>297</v>
      </c>
      <c r="H45" s="17">
        <v>8466200090</v>
      </c>
      <c r="I45" s="17">
        <v>84662090</v>
      </c>
      <c r="J45" s="27" t="s">
        <v>265</v>
      </c>
      <c r="K45" s="28" t="s">
        <v>266</v>
      </c>
      <c r="L45" s="19" t="s">
        <v>197</v>
      </c>
      <c r="M45" s="19" t="s">
        <v>34</v>
      </c>
      <c r="N45" s="19" t="s">
        <v>34</v>
      </c>
      <c r="O45" s="29">
        <v>46232</v>
      </c>
      <c r="P45" s="19" t="s">
        <v>39</v>
      </c>
      <c r="Q45" s="19" t="s">
        <v>40</v>
      </c>
      <c r="R45" s="44"/>
      <c r="S45" s="19"/>
      <c r="T45" s="19">
        <v>1</v>
      </c>
      <c r="U45" s="45">
        <v>50</v>
      </c>
      <c r="V45" s="46">
        <f t="shared" si="3"/>
        <v>7.0386</v>
      </c>
      <c r="W45" s="47">
        <f t="shared" si="1"/>
        <v>7.04</v>
      </c>
      <c r="X45" s="49"/>
      <c r="Y45" s="49"/>
      <c r="Z45" s="58"/>
      <c r="AA45" s="17">
        <v>0.2</v>
      </c>
      <c r="AB45" s="49"/>
      <c r="AC45" s="17" t="s">
        <v>298</v>
      </c>
      <c r="AD45" s="21" t="s">
        <v>270</v>
      </c>
      <c r="AE45" s="59" t="s">
        <v>45</v>
      </c>
      <c r="AF45" s="60">
        <f t="shared" si="4"/>
        <v>47.7876</v>
      </c>
    </row>
    <row r="46" s="3" customFormat="1" ht="42" customHeight="1" spans="1:32">
      <c r="A46" s="17" t="s">
        <v>299</v>
      </c>
      <c r="B46" s="18" t="s">
        <v>300</v>
      </c>
      <c r="C46" s="19" t="s">
        <v>183</v>
      </c>
      <c r="D46" s="20"/>
      <c r="E46" s="21" t="s">
        <v>263</v>
      </c>
      <c r="F46" s="19" t="s">
        <v>34</v>
      </c>
      <c r="G46" s="19" t="s">
        <v>301</v>
      </c>
      <c r="H46" s="17">
        <v>8466200090</v>
      </c>
      <c r="I46" s="17">
        <v>84662090</v>
      </c>
      <c r="J46" s="27" t="s">
        <v>265</v>
      </c>
      <c r="K46" s="28" t="s">
        <v>266</v>
      </c>
      <c r="L46" s="19" t="s">
        <v>197</v>
      </c>
      <c r="M46" s="19" t="s">
        <v>34</v>
      </c>
      <c r="N46" s="19" t="s">
        <v>34</v>
      </c>
      <c r="O46" s="29">
        <v>46232</v>
      </c>
      <c r="P46" s="19" t="s">
        <v>39</v>
      </c>
      <c r="Q46" s="19" t="s">
        <v>40</v>
      </c>
      <c r="R46" s="44"/>
      <c r="S46" s="19"/>
      <c r="T46" s="19">
        <v>1</v>
      </c>
      <c r="U46" s="45">
        <v>50</v>
      </c>
      <c r="V46" s="46">
        <f t="shared" si="3"/>
        <v>7.0386</v>
      </c>
      <c r="W46" s="47">
        <f t="shared" si="1"/>
        <v>7.04</v>
      </c>
      <c r="X46" s="50"/>
      <c r="Y46" s="50"/>
      <c r="Z46" s="61"/>
      <c r="AA46" s="17">
        <v>1.5</v>
      </c>
      <c r="AB46" s="50"/>
      <c r="AC46" s="17" t="s">
        <v>302</v>
      </c>
      <c r="AD46" s="21" t="s">
        <v>270</v>
      </c>
      <c r="AE46" s="59" t="s">
        <v>45</v>
      </c>
      <c r="AF46" s="60">
        <f t="shared" si="4"/>
        <v>47.7876</v>
      </c>
    </row>
    <row r="47" s="3" customFormat="1" ht="42" customHeight="1" spans="1:32">
      <c r="A47" s="17" t="s">
        <v>303</v>
      </c>
      <c r="B47" s="18" t="s">
        <v>304</v>
      </c>
      <c r="C47" s="19" t="s">
        <v>183</v>
      </c>
      <c r="D47" s="20"/>
      <c r="E47" s="21" t="s">
        <v>263</v>
      </c>
      <c r="F47" s="19" t="s">
        <v>34</v>
      </c>
      <c r="G47" s="19" t="s">
        <v>305</v>
      </c>
      <c r="H47" s="17">
        <v>8466200090</v>
      </c>
      <c r="I47" s="17">
        <v>84662090</v>
      </c>
      <c r="J47" s="27" t="s">
        <v>265</v>
      </c>
      <c r="K47" s="28" t="s">
        <v>266</v>
      </c>
      <c r="L47" s="19" t="s">
        <v>197</v>
      </c>
      <c r="M47" s="19" t="s">
        <v>34</v>
      </c>
      <c r="N47" s="19" t="s">
        <v>34</v>
      </c>
      <c r="O47" s="29">
        <v>46195</v>
      </c>
      <c r="P47" s="19" t="s">
        <v>39</v>
      </c>
      <c r="Q47" s="19" t="s">
        <v>40</v>
      </c>
      <c r="R47" s="44"/>
      <c r="S47" s="19"/>
      <c r="T47" s="19">
        <v>8</v>
      </c>
      <c r="U47" s="45">
        <v>300</v>
      </c>
      <c r="V47" s="46">
        <f t="shared" si="3"/>
        <v>42.2314</v>
      </c>
      <c r="W47" s="47">
        <f t="shared" si="1"/>
        <v>337.85</v>
      </c>
      <c r="X47" s="51" t="s">
        <v>306</v>
      </c>
      <c r="Y47" s="50">
        <v>2</v>
      </c>
      <c r="Z47" s="61">
        <v>17.8</v>
      </c>
      <c r="AA47" s="17">
        <v>16.8</v>
      </c>
      <c r="AB47" s="50" t="s">
        <v>307</v>
      </c>
      <c r="AC47" s="17" t="s">
        <v>308</v>
      </c>
      <c r="AD47" s="21" t="s">
        <v>270</v>
      </c>
      <c r="AE47" s="59" t="s">
        <v>45</v>
      </c>
      <c r="AF47" s="60">
        <f t="shared" si="4"/>
        <v>286.7257</v>
      </c>
    </row>
    <row r="48" s="3" customFormat="1" ht="42" customHeight="1" spans="1:32">
      <c r="A48" s="17" t="s">
        <v>309</v>
      </c>
      <c r="B48" s="18" t="s">
        <v>310</v>
      </c>
      <c r="C48" s="19" t="s">
        <v>183</v>
      </c>
      <c r="D48" s="20"/>
      <c r="E48" s="21" t="s">
        <v>263</v>
      </c>
      <c r="F48" s="19" t="s">
        <v>34</v>
      </c>
      <c r="G48" s="19" t="s">
        <v>311</v>
      </c>
      <c r="H48" s="17">
        <v>8466200090</v>
      </c>
      <c r="I48" s="17">
        <v>84662090</v>
      </c>
      <c r="J48" s="27" t="s">
        <v>265</v>
      </c>
      <c r="K48" s="28" t="s">
        <v>266</v>
      </c>
      <c r="L48" s="19" t="s">
        <v>197</v>
      </c>
      <c r="M48" s="19" t="s">
        <v>34</v>
      </c>
      <c r="N48" s="19" t="s">
        <v>34</v>
      </c>
      <c r="O48" s="29">
        <v>46232</v>
      </c>
      <c r="P48" s="19" t="s">
        <v>39</v>
      </c>
      <c r="Q48" s="19" t="s">
        <v>40</v>
      </c>
      <c r="R48" s="44"/>
      <c r="S48" s="19"/>
      <c r="T48" s="19">
        <v>2</v>
      </c>
      <c r="U48" s="45">
        <v>300</v>
      </c>
      <c r="V48" s="46">
        <f t="shared" si="3"/>
        <v>42.2314</v>
      </c>
      <c r="W48" s="47">
        <f t="shared" si="1"/>
        <v>84.46</v>
      </c>
      <c r="X48" s="51" t="s">
        <v>312</v>
      </c>
      <c r="Y48" s="50">
        <v>1</v>
      </c>
      <c r="Z48" s="61">
        <v>4.8</v>
      </c>
      <c r="AA48" s="17">
        <v>3.8</v>
      </c>
      <c r="AB48" s="50" t="s">
        <v>313</v>
      </c>
      <c r="AC48" s="17" t="s">
        <v>308</v>
      </c>
      <c r="AD48" s="21" t="s">
        <v>270</v>
      </c>
      <c r="AE48" s="59" t="s">
        <v>45</v>
      </c>
      <c r="AF48" s="60">
        <f t="shared" si="4"/>
        <v>286.7257</v>
      </c>
    </row>
    <row r="49" s="3" customFormat="1" ht="42" customHeight="1" spans="1:32">
      <c r="A49" s="17" t="s">
        <v>314</v>
      </c>
      <c r="B49" s="18" t="s">
        <v>315</v>
      </c>
      <c r="C49" s="19" t="s">
        <v>183</v>
      </c>
      <c r="D49" s="20"/>
      <c r="E49" s="21" t="s">
        <v>316</v>
      </c>
      <c r="F49" s="19" t="s">
        <v>34</v>
      </c>
      <c r="G49" s="19" t="s">
        <v>317</v>
      </c>
      <c r="H49" s="17">
        <v>8466200090</v>
      </c>
      <c r="I49" s="17">
        <v>84662090</v>
      </c>
      <c r="J49" s="27" t="s">
        <v>318</v>
      </c>
      <c r="K49" s="28"/>
      <c r="L49" s="19" t="s">
        <v>319</v>
      </c>
      <c r="M49" s="19" t="s">
        <v>34</v>
      </c>
      <c r="N49" s="19" t="s">
        <v>34</v>
      </c>
      <c r="O49" s="29">
        <v>46234</v>
      </c>
      <c r="P49" s="19" t="s">
        <v>39</v>
      </c>
      <c r="Q49" s="19" t="s">
        <v>40</v>
      </c>
      <c r="R49" s="44"/>
      <c r="S49" s="19"/>
      <c r="T49" s="19">
        <v>190</v>
      </c>
      <c r="U49" s="45">
        <v>3</v>
      </c>
      <c r="V49" s="46">
        <f t="shared" si="3"/>
        <v>0.4223</v>
      </c>
      <c r="W49" s="47">
        <f t="shared" si="1"/>
        <v>80.24</v>
      </c>
      <c r="X49" s="51" t="s">
        <v>320</v>
      </c>
      <c r="Y49" s="50">
        <v>1</v>
      </c>
      <c r="Z49" s="61">
        <v>18.1</v>
      </c>
      <c r="AA49" s="17">
        <v>17.1</v>
      </c>
      <c r="AB49" s="50" t="s">
        <v>321</v>
      </c>
      <c r="AC49" s="17" t="s">
        <v>322</v>
      </c>
      <c r="AD49" s="21" t="s">
        <v>270</v>
      </c>
      <c r="AE49" s="59" t="s">
        <v>45</v>
      </c>
      <c r="AF49" s="60">
        <f t="shared" si="4"/>
        <v>2.8673</v>
      </c>
    </row>
    <row r="50" s="3" customFormat="1" ht="42" customHeight="1" spans="1:32">
      <c r="A50" s="17" t="s">
        <v>323</v>
      </c>
      <c r="B50" s="18" t="s">
        <v>324</v>
      </c>
      <c r="C50" s="19" t="s">
        <v>183</v>
      </c>
      <c r="D50" s="20"/>
      <c r="E50" s="21" t="s">
        <v>316</v>
      </c>
      <c r="F50" s="19" t="s">
        <v>34</v>
      </c>
      <c r="G50" s="20" t="s">
        <v>325</v>
      </c>
      <c r="H50" s="17">
        <v>8466200090</v>
      </c>
      <c r="I50" s="17">
        <v>84662090</v>
      </c>
      <c r="J50" s="27" t="s">
        <v>318</v>
      </c>
      <c r="K50" s="28"/>
      <c r="L50" s="19" t="s">
        <v>319</v>
      </c>
      <c r="M50" s="19" t="s">
        <v>34</v>
      </c>
      <c r="N50" s="19" t="s">
        <v>34</v>
      </c>
      <c r="O50" s="29">
        <v>46234</v>
      </c>
      <c r="P50" s="19" t="s">
        <v>39</v>
      </c>
      <c r="Q50" s="19" t="s">
        <v>40</v>
      </c>
      <c r="R50" s="44"/>
      <c r="S50" s="19"/>
      <c r="T50" s="19">
        <v>78</v>
      </c>
      <c r="U50" s="45">
        <v>3</v>
      </c>
      <c r="V50" s="46">
        <f t="shared" si="3"/>
        <v>0.4223</v>
      </c>
      <c r="W50" s="47">
        <f t="shared" si="1"/>
        <v>32.94</v>
      </c>
      <c r="X50" s="48" t="s">
        <v>326</v>
      </c>
      <c r="Y50" s="49">
        <v>1</v>
      </c>
      <c r="Z50" s="58">
        <v>6.7</v>
      </c>
      <c r="AA50" s="17">
        <v>0.78</v>
      </c>
      <c r="AB50" s="49" t="s">
        <v>327</v>
      </c>
      <c r="AC50" s="17" t="s">
        <v>322</v>
      </c>
      <c r="AD50" s="21" t="s">
        <v>270</v>
      </c>
      <c r="AE50" s="59" t="s">
        <v>45</v>
      </c>
      <c r="AF50" s="60">
        <f t="shared" si="4"/>
        <v>2.8673</v>
      </c>
    </row>
    <row r="51" s="3" customFormat="1" ht="42" customHeight="1" spans="1:32">
      <c r="A51" s="17" t="s">
        <v>323</v>
      </c>
      <c r="B51" s="18" t="s">
        <v>324</v>
      </c>
      <c r="C51" s="19" t="s">
        <v>183</v>
      </c>
      <c r="D51" s="20"/>
      <c r="E51" s="21" t="s">
        <v>316</v>
      </c>
      <c r="F51" s="19" t="s">
        <v>34</v>
      </c>
      <c r="G51" s="20" t="s">
        <v>328</v>
      </c>
      <c r="H51" s="17">
        <v>8466200090</v>
      </c>
      <c r="I51" s="17">
        <v>84662090</v>
      </c>
      <c r="J51" s="27" t="s">
        <v>318</v>
      </c>
      <c r="K51" s="28"/>
      <c r="L51" s="19" t="s">
        <v>319</v>
      </c>
      <c r="M51" s="19" t="s">
        <v>34</v>
      </c>
      <c r="N51" s="19" t="s">
        <v>34</v>
      </c>
      <c r="O51" s="29">
        <v>46234</v>
      </c>
      <c r="P51" s="19" t="s">
        <v>39</v>
      </c>
      <c r="Q51" s="19" t="s">
        <v>40</v>
      </c>
      <c r="R51" s="44"/>
      <c r="S51" s="19"/>
      <c r="T51" s="19">
        <v>78</v>
      </c>
      <c r="U51" s="45">
        <v>3</v>
      </c>
      <c r="V51" s="46">
        <f t="shared" si="3"/>
        <v>0.4223</v>
      </c>
      <c r="W51" s="47">
        <f t="shared" si="1"/>
        <v>32.94</v>
      </c>
      <c r="X51" s="49"/>
      <c r="Y51" s="49"/>
      <c r="Z51" s="58"/>
      <c r="AA51" s="17">
        <v>0.78</v>
      </c>
      <c r="AB51" s="49"/>
      <c r="AC51" s="17" t="s">
        <v>322</v>
      </c>
      <c r="AD51" s="21" t="s">
        <v>270</v>
      </c>
      <c r="AE51" s="59" t="s">
        <v>45</v>
      </c>
      <c r="AF51" s="60">
        <f t="shared" si="4"/>
        <v>2.8673</v>
      </c>
    </row>
    <row r="52" s="3" customFormat="1" ht="42" customHeight="1" spans="1:32">
      <c r="A52" s="17" t="s">
        <v>314</v>
      </c>
      <c r="B52" s="18" t="s">
        <v>315</v>
      </c>
      <c r="C52" s="19" t="s">
        <v>183</v>
      </c>
      <c r="D52" s="20"/>
      <c r="E52" s="21" t="s">
        <v>316</v>
      </c>
      <c r="F52" s="19" t="s">
        <v>34</v>
      </c>
      <c r="G52" s="19" t="s">
        <v>329</v>
      </c>
      <c r="H52" s="17">
        <v>8466200090</v>
      </c>
      <c r="I52" s="17">
        <v>84662090</v>
      </c>
      <c r="J52" s="27" t="s">
        <v>318</v>
      </c>
      <c r="K52" s="28"/>
      <c r="L52" s="19" t="s">
        <v>319</v>
      </c>
      <c r="M52" s="19" t="s">
        <v>34</v>
      </c>
      <c r="N52" s="19" t="s">
        <v>34</v>
      </c>
      <c r="O52" s="29">
        <v>46234</v>
      </c>
      <c r="P52" s="19" t="s">
        <v>39</v>
      </c>
      <c r="Q52" s="19" t="s">
        <v>40</v>
      </c>
      <c r="R52" s="44"/>
      <c r="S52" s="19"/>
      <c r="T52" s="19">
        <v>47</v>
      </c>
      <c r="U52" s="45">
        <v>10</v>
      </c>
      <c r="V52" s="46">
        <f t="shared" si="3"/>
        <v>1.4077</v>
      </c>
      <c r="W52" s="47">
        <f t="shared" si="1"/>
        <v>66.16</v>
      </c>
      <c r="X52" s="50"/>
      <c r="Y52" s="50"/>
      <c r="Z52" s="61"/>
      <c r="AA52" s="17">
        <v>4.23</v>
      </c>
      <c r="AB52" s="50"/>
      <c r="AC52" s="17" t="s">
        <v>322</v>
      </c>
      <c r="AD52" s="21" t="s">
        <v>270</v>
      </c>
      <c r="AE52" s="59" t="s">
        <v>45</v>
      </c>
      <c r="AF52" s="60">
        <f t="shared" si="4"/>
        <v>9.5575</v>
      </c>
    </row>
    <row r="53" s="3" customFormat="1" ht="42" customHeight="1" spans="1:32">
      <c r="A53" s="17" t="s">
        <v>330</v>
      </c>
      <c r="B53" s="18" t="s">
        <v>331</v>
      </c>
      <c r="C53" s="19" t="s">
        <v>183</v>
      </c>
      <c r="D53" s="20"/>
      <c r="E53" s="21" t="s">
        <v>332</v>
      </c>
      <c r="F53" s="19" t="s">
        <v>34</v>
      </c>
      <c r="G53" s="19" t="s">
        <v>333</v>
      </c>
      <c r="H53" s="17">
        <v>8466200090</v>
      </c>
      <c r="I53" s="17">
        <v>84662090</v>
      </c>
      <c r="J53" s="27" t="s">
        <v>334</v>
      </c>
      <c r="K53" s="28" t="s">
        <v>266</v>
      </c>
      <c r="L53" s="19" t="s">
        <v>197</v>
      </c>
      <c r="M53" s="19" t="s">
        <v>34</v>
      </c>
      <c r="N53" s="19" t="s">
        <v>34</v>
      </c>
      <c r="O53" s="29">
        <v>46190</v>
      </c>
      <c r="P53" s="19" t="s">
        <v>39</v>
      </c>
      <c r="Q53" s="19" t="s">
        <v>40</v>
      </c>
      <c r="R53" s="44"/>
      <c r="S53" s="19"/>
      <c r="T53" s="19">
        <v>12</v>
      </c>
      <c r="U53" s="45">
        <v>40</v>
      </c>
      <c r="V53" s="46">
        <f t="shared" si="3"/>
        <v>5.6308</v>
      </c>
      <c r="W53" s="47">
        <f t="shared" si="1"/>
        <v>67.57</v>
      </c>
      <c r="X53" s="48" t="s">
        <v>335</v>
      </c>
      <c r="Y53" s="49">
        <v>1</v>
      </c>
      <c r="Z53" s="58">
        <v>13</v>
      </c>
      <c r="AA53" s="17">
        <v>2.4</v>
      </c>
      <c r="AB53" s="49" t="s">
        <v>336</v>
      </c>
      <c r="AC53" s="17" t="s">
        <v>337</v>
      </c>
      <c r="AD53" s="21" t="s">
        <v>270</v>
      </c>
      <c r="AE53" s="59" t="s">
        <v>45</v>
      </c>
      <c r="AF53" s="60">
        <f t="shared" si="4"/>
        <v>38.2301</v>
      </c>
    </row>
    <row r="54" s="3" customFormat="1" ht="42" customHeight="1" spans="1:32">
      <c r="A54" s="17" t="s">
        <v>338</v>
      </c>
      <c r="B54" s="18" t="s">
        <v>339</v>
      </c>
      <c r="C54" s="19" t="s">
        <v>183</v>
      </c>
      <c r="D54" s="20"/>
      <c r="E54" s="21" t="s">
        <v>332</v>
      </c>
      <c r="F54" s="19" t="s">
        <v>34</v>
      </c>
      <c r="G54" s="19" t="s">
        <v>340</v>
      </c>
      <c r="H54" s="17">
        <v>8466200090</v>
      </c>
      <c r="I54" s="17">
        <v>84662090</v>
      </c>
      <c r="J54" s="27" t="s">
        <v>334</v>
      </c>
      <c r="K54" s="28" t="s">
        <v>266</v>
      </c>
      <c r="L54" s="19" t="s">
        <v>197</v>
      </c>
      <c r="M54" s="19" t="s">
        <v>34</v>
      </c>
      <c r="N54" s="19" t="s">
        <v>34</v>
      </c>
      <c r="O54" s="29">
        <v>46190</v>
      </c>
      <c r="P54" s="19" t="s">
        <v>39</v>
      </c>
      <c r="Q54" s="19" t="s">
        <v>40</v>
      </c>
      <c r="R54" s="44"/>
      <c r="S54" s="19"/>
      <c r="T54" s="19">
        <v>6</v>
      </c>
      <c r="U54" s="45">
        <v>50</v>
      </c>
      <c r="V54" s="46">
        <f t="shared" si="3"/>
        <v>7.0386</v>
      </c>
      <c r="W54" s="47">
        <f t="shared" si="1"/>
        <v>42.23</v>
      </c>
      <c r="X54" s="49"/>
      <c r="Y54" s="49"/>
      <c r="Z54" s="58"/>
      <c r="AA54" s="17">
        <v>4.2</v>
      </c>
      <c r="AB54" s="49"/>
      <c r="AC54" s="17" t="s">
        <v>341</v>
      </c>
      <c r="AD54" s="21" t="s">
        <v>270</v>
      </c>
      <c r="AE54" s="59" t="s">
        <v>45</v>
      </c>
      <c r="AF54" s="60">
        <f t="shared" si="4"/>
        <v>47.7876</v>
      </c>
    </row>
    <row r="55" s="3" customFormat="1" ht="42" customHeight="1" spans="1:32">
      <c r="A55" s="17" t="s">
        <v>342</v>
      </c>
      <c r="B55" s="18" t="s">
        <v>343</v>
      </c>
      <c r="C55" s="19" t="s">
        <v>183</v>
      </c>
      <c r="D55" s="20"/>
      <c r="E55" s="21" t="s">
        <v>332</v>
      </c>
      <c r="F55" s="19" t="s">
        <v>34</v>
      </c>
      <c r="G55" s="19" t="s">
        <v>344</v>
      </c>
      <c r="H55" s="17">
        <v>8466200090</v>
      </c>
      <c r="I55" s="17">
        <v>84662090</v>
      </c>
      <c r="J55" s="27" t="s">
        <v>334</v>
      </c>
      <c r="K55" s="28" t="s">
        <v>266</v>
      </c>
      <c r="L55" s="19" t="s">
        <v>197</v>
      </c>
      <c r="M55" s="19" t="s">
        <v>34</v>
      </c>
      <c r="N55" s="19" t="s">
        <v>34</v>
      </c>
      <c r="O55" s="29">
        <v>46190</v>
      </c>
      <c r="P55" s="19" t="s">
        <v>39</v>
      </c>
      <c r="Q55" s="19" t="s">
        <v>40</v>
      </c>
      <c r="R55" s="44"/>
      <c r="S55" s="19"/>
      <c r="T55" s="19">
        <v>1</v>
      </c>
      <c r="U55" s="45">
        <v>50</v>
      </c>
      <c r="V55" s="46">
        <f t="shared" si="3"/>
        <v>7.0386</v>
      </c>
      <c r="W55" s="47">
        <f t="shared" si="1"/>
        <v>7.04</v>
      </c>
      <c r="X55" s="49"/>
      <c r="Y55" s="49"/>
      <c r="Z55" s="58"/>
      <c r="AA55" s="17">
        <v>0.3</v>
      </c>
      <c r="AB55" s="49"/>
      <c r="AC55" s="17" t="s">
        <v>345</v>
      </c>
      <c r="AD55" s="21" t="s">
        <v>270</v>
      </c>
      <c r="AE55" s="59" t="s">
        <v>45</v>
      </c>
      <c r="AF55" s="60">
        <f t="shared" si="4"/>
        <v>47.7876</v>
      </c>
    </row>
    <row r="56" s="3" customFormat="1" ht="42" customHeight="1" spans="1:32">
      <c r="A56" s="17" t="s">
        <v>346</v>
      </c>
      <c r="B56" s="18" t="s">
        <v>347</v>
      </c>
      <c r="C56" s="19" t="s">
        <v>183</v>
      </c>
      <c r="D56" s="20"/>
      <c r="E56" s="21" t="s">
        <v>332</v>
      </c>
      <c r="F56" s="19" t="s">
        <v>34</v>
      </c>
      <c r="G56" s="19" t="s">
        <v>348</v>
      </c>
      <c r="H56" s="17">
        <v>8466200090</v>
      </c>
      <c r="I56" s="17">
        <v>84662090</v>
      </c>
      <c r="J56" s="27" t="s">
        <v>334</v>
      </c>
      <c r="K56" s="28" t="s">
        <v>266</v>
      </c>
      <c r="L56" s="19" t="s">
        <v>197</v>
      </c>
      <c r="M56" s="19" t="s">
        <v>34</v>
      </c>
      <c r="N56" s="19" t="s">
        <v>34</v>
      </c>
      <c r="O56" s="29">
        <v>46190</v>
      </c>
      <c r="P56" s="19" t="s">
        <v>39</v>
      </c>
      <c r="Q56" s="19" t="s">
        <v>40</v>
      </c>
      <c r="R56" s="44"/>
      <c r="S56" s="19"/>
      <c r="T56" s="19">
        <v>3</v>
      </c>
      <c r="U56" s="45">
        <v>35</v>
      </c>
      <c r="V56" s="46">
        <f t="shared" si="3"/>
        <v>4.927</v>
      </c>
      <c r="W56" s="47">
        <f t="shared" si="1"/>
        <v>14.78</v>
      </c>
      <c r="X56" s="49"/>
      <c r="Y56" s="49"/>
      <c r="Z56" s="58"/>
      <c r="AA56" s="17">
        <v>4.5</v>
      </c>
      <c r="AB56" s="49"/>
      <c r="AC56" s="17" t="s">
        <v>349</v>
      </c>
      <c r="AD56" s="21" t="s">
        <v>270</v>
      </c>
      <c r="AE56" s="59" t="s">
        <v>45</v>
      </c>
      <c r="AF56" s="60">
        <f t="shared" si="4"/>
        <v>33.4513</v>
      </c>
    </row>
    <row r="57" s="3" customFormat="1" ht="42" customHeight="1" spans="1:32">
      <c r="A57" s="17" t="s">
        <v>295</v>
      </c>
      <c r="B57" s="18" t="s">
        <v>296</v>
      </c>
      <c r="C57" s="19" t="s">
        <v>183</v>
      </c>
      <c r="D57" s="20"/>
      <c r="E57" s="21" t="s">
        <v>332</v>
      </c>
      <c r="F57" s="19" t="s">
        <v>34</v>
      </c>
      <c r="G57" s="19" t="s">
        <v>350</v>
      </c>
      <c r="H57" s="17">
        <v>8466200090</v>
      </c>
      <c r="I57" s="17">
        <v>84662090</v>
      </c>
      <c r="J57" s="31" t="s">
        <v>334</v>
      </c>
      <c r="K57" s="32" t="s">
        <v>266</v>
      </c>
      <c r="L57" s="19" t="s">
        <v>197</v>
      </c>
      <c r="M57" s="19" t="s">
        <v>34</v>
      </c>
      <c r="N57" s="19" t="s">
        <v>34</v>
      </c>
      <c r="O57" s="29">
        <v>46230</v>
      </c>
      <c r="P57" s="19" t="s">
        <v>39</v>
      </c>
      <c r="Q57" s="19" t="s">
        <v>40</v>
      </c>
      <c r="R57" s="44"/>
      <c r="S57" s="19"/>
      <c r="T57" s="19">
        <v>2</v>
      </c>
      <c r="U57" s="45">
        <v>40</v>
      </c>
      <c r="V57" s="46">
        <f t="shared" si="3"/>
        <v>5.6308</v>
      </c>
      <c r="W57" s="47">
        <f t="shared" ref="W57:W76" si="5">ROUND(V57*T57,2)</f>
        <v>11.26</v>
      </c>
      <c r="X57" s="50"/>
      <c r="Y57" s="50"/>
      <c r="Z57" s="61"/>
      <c r="AA57" s="17">
        <v>0.6</v>
      </c>
      <c r="AB57" s="50"/>
      <c r="AC57" s="17" t="s">
        <v>351</v>
      </c>
      <c r="AD57" s="21" t="s">
        <v>270</v>
      </c>
      <c r="AE57" s="59" t="s">
        <v>45</v>
      </c>
      <c r="AF57" s="60">
        <f t="shared" si="4"/>
        <v>38.2301</v>
      </c>
    </row>
    <row r="58" s="3" customFormat="1" ht="42" customHeight="1" spans="1:32">
      <c r="A58" s="17" t="s">
        <v>352</v>
      </c>
      <c r="B58" s="18" t="s">
        <v>353</v>
      </c>
      <c r="C58" s="19" t="s">
        <v>354</v>
      </c>
      <c r="D58" s="20"/>
      <c r="E58" s="21" t="s">
        <v>355</v>
      </c>
      <c r="F58" s="19" t="s">
        <v>34</v>
      </c>
      <c r="G58" s="19" t="s">
        <v>356</v>
      </c>
      <c r="H58" s="17">
        <v>8456200000</v>
      </c>
      <c r="I58" s="17">
        <v>84562000</v>
      </c>
      <c r="J58" s="27" t="s">
        <v>357</v>
      </c>
      <c r="K58" s="28" t="s">
        <v>209</v>
      </c>
      <c r="L58" s="19" t="s">
        <v>216</v>
      </c>
      <c r="M58" s="19" t="s">
        <v>37</v>
      </c>
      <c r="N58" s="19" t="s">
        <v>358</v>
      </c>
      <c r="O58" s="33" t="s">
        <v>359</v>
      </c>
      <c r="P58" s="19" t="s">
        <v>39</v>
      </c>
      <c r="Q58" s="19" t="s">
        <v>40</v>
      </c>
      <c r="R58" s="44"/>
      <c r="S58" s="19"/>
      <c r="T58" s="19">
        <v>1</v>
      </c>
      <c r="U58" s="45">
        <v>34000</v>
      </c>
      <c r="V58" s="46">
        <f t="shared" si="3"/>
        <v>4786.2219</v>
      </c>
      <c r="W58" s="47">
        <f t="shared" si="5"/>
        <v>4786.22</v>
      </c>
      <c r="X58" s="48" t="s">
        <v>360</v>
      </c>
      <c r="Y58" s="48">
        <v>1</v>
      </c>
      <c r="Z58" s="62">
        <v>374</v>
      </c>
      <c r="AA58" s="17">
        <v>350</v>
      </c>
      <c r="AB58" s="48" t="s">
        <v>361</v>
      </c>
      <c r="AC58" s="17" t="s">
        <v>362</v>
      </c>
      <c r="AD58" s="21" t="s">
        <v>270</v>
      </c>
      <c r="AE58" s="59" t="s">
        <v>45</v>
      </c>
      <c r="AF58" s="60">
        <f t="shared" si="4"/>
        <v>32495.5752</v>
      </c>
    </row>
    <row r="59" s="3" customFormat="1" ht="42" customHeight="1" spans="1:32">
      <c r="A59" s="17" t="s">
        <v>363</v>
      </c>
      <c r="B59" s="18" t="s">
        <v>364</v>
      </c>
      <c r="C59" s="19" t="s">
        <v>354</v>
      </c>
      <c r="D59" s="20"/>
      <c r="E59" s="21" t="s">
        <v>332</v>
      </c>
      <c r="F59" s="19" t="s">
        <v>34</v>
      </c>
      <c r="G59" s="21" t="s">
        <v>365</v>
      </c>
      <c r="H59" s="17">
        <v>8480719090</v>
      </c>
      <c r="I59" s="17">
        <v>84807190</v>
      </c>
      <c r="J59" s="27" t="s">
        <v>366</v>
      </c>
      <c r="K59" s="30" t="s">
        <v>367</v>
      </c>
      <c r="L59" s="19" t="s">
        <v>368</v>
      </c>
      <c r="M59" s="19" t="s">
        <v>34</v>
      </c>
      <c r="N59" s="19" t="s">
        <v>34</v>
      </c>
      <c r="O59" s="29">
        <v>46230</v>
      </c>
      <c r="P59" s="19" t="s">
        <v>39</v>
      </c>
      <c r="Q59" s="19" t="s">
        <v>40</v>
      </c>
      <c r="R59" s="44"/>
      <c r="S59" s="19"/>
      <c r="T59" s="19">
        <v>4</v>
      </c>
      <c r="U59" s="45">
        <v>4200</v>
      </c>
      <c r="V59" s="46">
        <f t="shared" si="3"/>
        <v>591.2392</v>
      </c>
      <c r="W59" s="47">
        <f t="shared" si="5"/>
        <v>2364.96</v>
      </c>
      <c r="X59" s="49"/>
      <c r="Y59" s="49"/>
      <c r="Z59" s="58"/>
      <c r="AA59" s="17">
        <v>14.9</v>
      </c>
      <c r="AB59" s="49"/>
      <c r="AC59" s="17" t="s">
        <v>369</v>
      </c>
      <c r="AD59" s="21" t="s">
        <v>270</v>
      </c>
      <c r="AE59" s="59" t="s">
        <v>45</v>
      </c>
      <c r="AF59" s="60">
        <f t="shared" si="4"/>
        <v>4014.1593</v>
      </c>
    </row>
    <row r="60" s="3" customFormat="1" ht="42" customHeight="1" spans="1:32">
      <c r="A60" s="17" t="s">
        <v>370</v>
      </c>
      <c r="B60" s="18" t="s">
        <v>371</v>
      </c>
      <c r="C60" s="19" t="s">
        <v>372</v>
      </c>
      <c r="D60" s="20"/>
      <c r="E60" s="21" t="s">
        <v>34</v>
      </c>
      <c r="F60" s="19" t="s">
        <v>34</v>
      </c>
      <c r="G60" s="21" t="s">
        <v>373</v>
      </c>
      <c r="H60" s="17">
        <v>8440102000</v>
      </c>
      <c r="I60" s="17">
        <v>84401010</v>
      </c>
      <c r="J60" s="27" t="s">
        <v>374</v>
      </c>
      <c r="K60" s="28" t="s">
        <v>375</v>
      </c>
      <c r="L60" s="19" t="s">
        <v>36</v>
      </c>
      <c r="M60" s="19" t="s">
        <v>34</v>
      </c>
      <c r="N60" s="19" t="s">
        <v>34</v>
      </c>
      <c r="O60" s="29">
        <v>46234</v>
      </c>
      <c r="P60" s="19" t="s">
        <v>39</v>
      </c>
      <c r="Q60" s="19" t="s">
        <v>40</v>
      </c>
      <c r="R60" s="44"/>
      <c r="S60" s="19"/>
      <c r="T60" s="19">
        <v>8</v>
      </c>
      <c r="U60" s="45">
        <v>384.2</v>
      </c>
      <c r="V60" s="46">
        <f t="shared" si="3"/>
        <v>54.0843</v>
      </c>
      <c r="W60" s="47">
        <f t="shared" si="5"/>
        <v>432.67</v>
      </c>
      <c r="X60" s="49"/>
      <c r="Y60" s="49"/>
      <c r="Z60" s="58"/>
      <c r="AA60" s="17">
        <v>0.01</v>
      </c>
      <c r="AB60" s="49"/>
      <c r="AC60" s="17" t="s">
        <v>376</v>
      </c>
      <c r="AD60" s="21" t="s">
        <v>270</v>
      </c>
      <c r="AE60" s="59" t="s">
        <v>45</v>
      </c>
      <c r="AF60" s="60">
        <f t="shared" si="4"/>
        <v>367.2</v>
      </c>
    </row>
    <row r="61" s="3" customFormat="1" ht="42" customHeight="1" spans="1:32">
      <c r="A61" s="17" t="s">
        <v>377</v>
      </c>
      <c r="B61" s="18" t="s">
        <v>371</v>
      </c>
      <c r="C61" s="19" t="s">
        <v>372</v>
      </c>
      <c r="D61" s="20"/>
      <c r="E61" s="21" t="s">
        <v>34</v>
      </c>
      <c r="F61" s="19" t="s">
        <v>34</v>
      </c>
      <c r="G61" s="21" t="s">
        <v>378</v>
      </c>
      <c r="H61" s="17">
        <v>8440102000</v>
      </c>
      <c r="I61" s="17">
        <v>84401010</v>
      </c>
      <c r="J61" s="27" t="s">
        <v>379</v>
      </c>
      <c r="K61" s="28" t="s">
        <v>375</v>
      </c>
      <c r="L61" s="19" t="s">
        <v>36</v>
      </c>
      <c r="M61" s="19" t="s">
        <v>34</v>
      </c>
      <c r="N61" s="19" t="s">
        <v>34</v>
      </c>
      <c r="O61" s="29">
        <v>46234</v>
      </c>
      <c r="P61" s="19" t="s">
        <v>39</v>
      </c>
      <c r="Q61" s="19" t="s">
        <v>40</v>
      </c>
      <c r="R61" s="44"/>
      <c r="S61" s="19"/>
      <c r="T61" s="19">
        <v>8</v>
      </c>
      <c r="U61" s="45">
        <v>384.2</v>
      </c>
      <c r="V61" s="46">
        <f t="shared" si="3"/>
        <v>54.0843</v>
      </c>
      <c r="W61" s="47">
        <f t="shared" si="5"/>
        <v>432.67</v>
      </c>
      <c r="X61" s="49"/>
      <c r="Y61" s="49"/>
      <c r="Z61" s="58"/>
      <c r="AA61" s="17">
        <v>0.01</v>
      </c>
      <c r="AB61" s="49"/>
      <c r="AC61" s="17" t="s">
        <v>376</v>
      </c>
      <c r="AD61" s="21" t="s">
        <v>270</v>
      </c>
      <c r="AE61" s="59" t="s">
        <v>45</v>
      </c>
      <c r="AF61" s="60">
        <f t="shared" si="4"/>
        <v>367.2</v>
      </c>
    </row>
    <row r="62" s="3" customFormat="1" ht="42" customHeight="1" spans="1:32">
      <c r="A62" s="17" t="s">
        <v>380</v>
      </c>
      <c r="B62" s="18" t="s">
        <v>371</v>
      </c>
      <c r="C62" s="19" t="s">
        <v>372</v>
      </c>
      <c r="D62" s="20"/>
      <c r="E62" s="21" t="s">
        <v>34</v>
      </c>
      <c r="F62" s="19" t="s">
        <v>34</v>
      </c>
      <c r="G62" s="21" t="s">
        <v>381</v>
      </c>
      <c r="H62" s="17">
        <v>8440102000</v>
      </c>
      <c r="I62" s="17">
        <v>84401010</v>
      </c>
      <c r="J62" s="27" t="s">
        <v>382</v>
      </c>
      <c r="K62" s="28" t="s">
        <v>375</v>
      </c>
      <c r="L62" s="19" t="s">
        <v>36</v>
      </c>
      <c r="M62" s="19" t="s">
        <v>34</v>
      </c>
      <c r="N62" s="19" t="s">
        <v>34</v>
      </c>
      <c r="O62" s="29">
        <v>46234</v>
      </c>
      <c r="P62" s="19" t="s">
        <v>39</v>
      </c>
      <c r="Q62" s="19" t="s">
        <v>40</v>
      </c>
      <c r="R62" s="44"/>
      <c r="S62" s="19"/>
      <c r="T62" s="19">
        <v>8</v>
      </c>
      <c r="U62" s="45">
        <v>242.95</v>
      </c>
      <c r="V62" s="46">
        <f t="shared" si="3"/>
        <v>34.2004</v>
      </c>
      <c r="W62" s="47">
        <f t="shared" si="5"/>
        <v>273.6</v>
      </c>
      <c r="X62" s="49"/>
      <c r="Y62" s="49"/>
      <c r="Z62" s="58"/>
      <c r="AA62" s="17">
        <v>0.01</v>
      </c>
      <c r="AB62" s="49"/>
      <c r="AC62" s="17" t="s">
        <v>383</v>
      </c>
      <c r="AD62" s="21" t="s">
        <v>270</v>
      </c>
      <c r="AE62" s="59" t="s">
        <v>45</v>
      </c>
      <c r="AF62" s="60">
        <f t="shared" si="4"/>
        <v>232.2</v>
      </c>
    </row>
    <row r="63" s="3" customFormat="1" ht="42" customHeight="1" spans="1:32">
      <c r="A63" s="17" t="s">
        <v>384</v>
      </c>
      <c r="B63" s="18" t="s">
        <v>371</v>
      </c>
      <c r="C63" s="19" t="s">
        <v>372</v>
      </c>
      <c r="D63" s="20"/>
      <c r="E63" s="21" t="s">
        <v>34</v>
      </c>
      <c r="F63" s="19" t="s">
        <v>34</v>
      </c>
      <c r="G63" s="21" t="s">
        <v>385</v>
      </c>
      <c r="H63" s="17">
        <v>8440102000</v>
      </c>
      <c r="I63" s="17">
        <v>84401010</v>
      </c>
      <c r="J63" s="27" t="s">
        <v>386</v>
      </c>
      <c r="K63" s="28" t="s">
        <v>375</v>
      </c>
      <c r="L63" s="19" t="s">
        <v>36</v>
      </c>
      <c r="M63" s="19" t="s">
        <v>34</v>
      </c>
      <c r="N63" s="19" t="s">
        <v>34</v>
      </c>
      <c r="O63" s="29">
        <v>46234</v>
      </c>
      <c r="P63" s="19" t="s">
        <v>39</v>
      </c>
      <c r="Q63" s="19" t="s">
        <v>40</v>
      </c>
      <c r="R63" s="44"/>
      <c r="S63" s="19"/>
      <c r="T63" s="19">
        <v>8</v>
      </c>
      <c r="U63" s="45">
        <v>242.95</v>
      </c>
      <c r="V63" s="46">
        <f t="shared" si="3"/>
        <v>34.2004</v>
      </c>
      <c r="W63" s="47">
        <f t="shared" si="5"/>
        <v>273.6</v>
      </c>
      <c r="X63" s="49"/>
      <c r="Y63" s="49"/>
      <c r="Z63" s="58"/>
      <c r="AA63" s="17">
        <v>0.01</v>
      </c>
      <c r="AB63" s="49"/>
      <c r="AC63" s="17" t="s">
        <v>383</v>
      </c>
      <c r="AD63" s="21" t="s">
        <v>270</v>
      </c>
      <c r="AE63" s="59" t="s">
        <v>45</v>
      </c>
      <c r="AF63" s="60">
        <f t="shared" si="4"/>
        <v>232.2</v>
      </c>
    </row>
    <row r="64" s="3" customFormat="1" ht="42" customHeight="1" spans="1:32">
      <c r="A64" s="17" t="s">
        <v>387</v>
      </c>
      <c r="B64" s="18" t="s">
        <v>371</v>
      </c>
      <c r="C64" s="19" t="s">
        <v>372</v>
      </c>
      <c r="D64" s="20"/>
      <c r="E64" s="21" t="s">
        <v>34</v>
      </c>
      <c r="F64" s="19" t="s">
        <v>34</v>
      </c>
      <c r="G64" s="21" t="s">
        <v>388</v>
      </c>
      <c r="H64" s="17">
        <v>8440102000</v>
      </c>
      <c r="I64" s="17">
        <v>84401010</v>
      </c>
      <c r="J64" s="27" t="s">
        <v>389</v>
      </c>
      <c r="K64" s="28" t="s">
        <v>375</v>
      </c>
      <c r="L64" s="19" t="s">
        <v>36</v>
      </c>
      <c r="M64" s="19" t="s">
        <v>34</v>
      </c>
      <c r="N64" s="19" t="s">
        <v>34</v>
      </c>
      <c r="O64" s="29">
        <v>46234</v>
      </c>
      <c r="P64" s="19" t="s">
        <v>39</v>
      </c>
      <c r="Q64" s="19" t="s">
        <v>40</v>
      </c>
      <c r="R64" s="44"/>
      <c r="S64" s="19"/>
      <c r="T64" s="19">
        <v>26</v>
      </c>
      <c r="U64" s="45">
        <v>7.345</v>
      </c>
      <c r="V64" s="46">
        <f t="shared" si="3"/>
        <v>1.034</v>
      </c>
      <c r="W64" s="47">
        <f t="shared" si="5"/>
        <v>26.88</v>
      </c>
      <c r="X64" s="50"/>
      <c r="Y64" s="50"/>
      <c r="Z64" s="61"/>
      <c r="AA64" s="17">
        <v>0.01</v>
      </c>
      <c r="AB64" s="50"/>
      <c r="AC64" s="17" t="s">
        <v>390</v>
      </c>
      <c r="AD64" s="21" t="s">
        <v>270</v>
      </c>
      <c r="AE64" s="59" t="s">
        <v>45</v>
      </c>
      <c r="AF64" s="60">
        <f t="shared" si="4"/>
        <v>7.02</v>
      </c>
    </row>
    <row r="65" s="3" customFormat="1" ht="42" customHeight="1" spans="1:32">
      <c r="A65" s="17" t="s">
        <v>391</v>
      </c>
      <c r="B65" s="18" t="s">
        <v>392</v>
      </c>
      <c r="C65" s="19" t="s">
        <v>393</v>
      </c>
      <c r="D65" s="20"/>
      <c r="E65" s="21" t="s">
        <v>394</v>
      </c>
      <c r="F65" s="19" t="s">
        <v>34</v>
      </c>
      <c r="G65" s="19" t="s">
        <v>34</v>
      </c>
      <c r="H65" s="63">
        <v>8515190090</v>
      </c>
      <c r="I65" s="63">
        <v>85151990</v>
      </c>
      <c r="J65" s="31" t="s">
        <v>395</v>
      </c>
      <c r="K65" s="28" t="s">
        <v>396</v>
      </c>
      <c r="L65" s="19" t="s">
        <v>223</v>
      </c>
      <c r="M65" s="19" t="s">
        <v>37</v>
      </c>
      <c r="N65" s="19" t="s">
        <v>397</v>
      </c>
      <c r="O65" s="29">
        <v>46097</v>
      </c>
      <c r="P65" s="19" t="s">
        <v>39</v>
      </c>
      <c r="Q65" s="19" t="s">
        <v>40</v>
      </c>
      <c r="R65" s="44"/>
      <c r="S65" s="19"/>
      <c r="T65" s="19">
        <v>20</v>
      </c>
      <c r="U65" s="45">
        <v>110</v>
      </c>
      <c r="V65" s="46">
        <f t="shared" ref="V65:V70" si="6">ROUND(U65*1.08/6.7894,4)</f>
        <v>17.4979</v>
      </c>
      <c r="W65" s="47">
        <f t="shared" si="5"/>
        <v>349.96</v>
      </c>
      <c r="X65" s="51" t="s">
        <v>398</v>
      </c>
      <c r="Y65" s="51">
        <v>2</v>
      </c>
      <c r="Z65" s="64">
        <v>20</v>
      </c>
      <c r="AA65" s="17">
        <v>18</v>
      </c>
      <c r="AB65" s="51" t="s">
        <v>399</v>
      </c>
      <c r="AC65" s="17" t="s">
        <v>400</v>
      </c>
      <c r="AD65" s="21" t="s">
        <v>401</v>
      </c>
      <c r="AE65" s="59" t="s">
        <v>45</v>
      </c>
      <c r="AF65" s="60">
        <f t="shared" ref="AF65:AF70" si="7">ROUND(U65*1.08,4)</f>
        <v>118.8</v>
      </c>
    </row>
    <row r="66" s="3" customFormat="1" ht="42" customHeight="1" spans="1:32">
      <c r="A66" s="17" t="s">
        <v>402</v>
      </c>
      <c r="B66" s="18" t="s">
        <v>403</v>
      </c>
      <c r="C66" s="19" t="s">
        <v>404</v>
      </c>
      <c r="D66" s="20"/>
      <c r="E66" s="21">
        <v>982</v>
      </c>
      <c r="F66" s="19" t="s">
        <v>34</v>
      </c>
      <c r="G66" s="19" t="s">
        <v>34</v>
      </c>
      <c r="H66" s="63">
        <v>8479899990</v>
      </c>
      <c r="I66" s="63">
        <v>84798969</v>
      </c>
      <c r="J66" s="31" t="s">
        <v>405</v>
      </c>
      <c r="K66" s="28" t="s">
        <v>241</v>
      </c>
      <c r="L66" s="19" t="s">
        <v>223</v>
      </c>
      <c r="M66" s="19" t="s">
        <v>406</v>
      </c>
      <c r="N66" s="19" t="s">
        <v>407</v>
      </c>
      <c r="O66" s="29">
        <v>46219</v>
      </c>
      <c r="P66" s="19" t="s">
        <v>39</v>
      </c>
      <c r="Q66" s="19" t="s">
        <v>40</v>
      </c>
      <c r="R66" s="44"/>
      <c r="S66" s="19"/>
      <c r="T66" s="19">
        <v>2</v>
      </c>
      <c r="U66" s="45">
        <v>260</v>
      </c>
      <c r="V66" s="46">
        <f t="shared" si="6"/>
        <v>41.3586</v>
      </c>
      <c r="W66" s="47">
        <f t="shared" si="5"/>
        <v>82.72</v>
      </c>
      <c r="X66" s="48" t="s">
        <v>408</v>
      </c>
      <c r="Y66" s="48">
        <v>1</v>
      </c>
      <c r="Z66" s="62">
        <v>31</v>
      </c>
      <c r="AA66" s="17">
        <v>4.78</v>
      </c>
      <c r="AB66" s="48" t="s">
        <v>399</v>
      </c>
      <c r="AC66" s="17" t="s">
        <v>409</v>
      </c>
      <c r="AD66" s="21" t="s">
        <v>401</v>
      </c>
      <c r="AE66" s="59" t="s">
        <v>45</v>
      </c>
      <c r="AF66" s="60">
        <f t="shared" si="7"/>
        <v>280.8</v>
      </c>
    </row>
    <row r="67" s="3" customFormat="1" ht="42" customHeight="1" spans="1:32">
      <c r="A67" s="17" t="s">
        <v>410</v>
      </c>
      <c r="B67" s="18" t="s">
        <v>411</v>
      </c>
      <c r="C67" s="19" t="s">
        <v>412</v>
      </c>
      <c r="D67" s="20"/>
      <c r="E67" s="21" t="s">
        <v>413</v>
      </c>
      <c r="F67" s="19" t="s">
        <v>34</v>
      </c>
      <c r="G67" s="19" t="s">
        <v>34</v>
      </c>
      <c r="H67" s="17">
        <v>8423309090</v>
      </c>
      <c r="I67" s="17">
        <v>84233010</v>
      </c>
      <c r="J67" s="27" t="s">
        <v>414</v>
      </c>
      <c r="K67" s="28" t="s">
        <v>241</v>
      </c>
      <c r="L67" s="19" t="s">
        <v>223</v>
      </c>
      <c r="M67" s="19" t="s">
        <v>415</v>
      </c>
      <c r="N67" s="19" t="s">
        <v>416</v>
      </c>
      <c r="O67" s="29">
        <v>46219</v>
      </c>
      <c r="P67" s="19" t="s">
        <v>39</v>
      </c>
      <c r="Q67" s="19" t="s">
        <v>40</v>
      </c>
      <c r="R67" s="44"/>
      <c r="S67" s="19"/>
      <c r="T67" s="19">
        <v>3</v>
      </c>
      <c r="U67" s="45">
        <v>230</v>
      </c>
      <c r="V67" s="46">
        <f t="shared" si="6"/>
        <v>36.5864</v>
      </c>
      <c r="W67" s="47">
        <f t="shared" si="5"/>
        <v>109.76</v>
      </c>
      <c r="X67" s="49"/>
      <c r="Y67" s="49"/>
      <c r="Z67" s="58"/>
      <c r="AA67" s="17">
        <v>2.6</v>
      </c>
      <c r="AB67" s="49"/>
      <c r="AC67" s="17" t="s">
        <v>417</v>
      </c>
      <c r="AD67" s="21" t="s">
        <v>401</v>
      </c>
      <c r="AE67" s="59" t="s">
        <v>45</v>
      </c>
      <c r="AF67" s="60">
        <f t="shared" si="7"/>
        <v>248.4</v>
      </c>
    </row>
    <row r="68" s="3" customFormat="1" ht="42" customHeight="1" spans="1:32">
      <c r="A68" s="17" t="s">
        <v>418</v>
      </c>
      <c r="B68" s="18" t="s">
        <v>419</v>
      </c>
      <c r="C68" s="19" t="s">
        <v>420</v>
      </c>
      <c r="D68" s="20"/>
      <c r="E68" s="21" t="s">
        <v>34</v>
      </c>
      <c r="F68" s="19" t="s">
        <v>34</v>
      </c>
      <c r="G68" s="19" t="s">
        <v>34</v>
      </c>
      <c r="H68" s="17">
        <v>8208900000</v>
      </c>
      <c r="I68" s="17">
        <v>82089000</v>
      </c>
      <c r="J68" s="27" t="s">
        <v>421</v>
      </c>
      <c r="K68" s="28" t="s">
        <v>375</v>
      </c>
      <c r="L68" s="19" t="s">
        <v>36</v>
      </c>
      <c r="M68" s="19" t="s">
        <v>34</v>
      </c>
      <c r="N68" s="19" t="s">
        <v>34</v>
      </c>
      <c r="O68" s="29">
        <v>46219</v>
      </c>
      <c r="P68" s="19" t="s">
        <v>39</v>
      </c>
      <c r="Q68" s="19" t="s">
        <v>40</v>
      </c>
      <c r="R68" s="44"/>
      <c r="S68" s="19"/>
      <c r="T68" s="19">
        <v>100</v>
      </c>
      <c r="U68" s="45">
        <v>2.5</v>
      </c>
      <c r="V68" s="46">
        <f t="shared" si="6"/>
        <v>0.3977</v>
      </c>
      <c r="W68" s="47">
        <f t="shared" si="5"/>
        <v>39.77</v>
      </c>
      <c r="X68" s="49"/>
      <c r="Y68" s="49"/>
      <c r="Z68" s="58"/>
      <c r="AA68" s="17">
        <v>0.38</v>
      </c>
      <c r="AB68" s="49"/>
      <c r="AC68" s="17" t="s">
        <v>422</v>
      </c>
      <c r="AD68" s="21" t="s">
        <v>401</v>
      </c>
      <c r="AE68" s="59" t="s">
        <v>45</v>
      </c>
      <c r="AF68" s="60">
        <f t="shared" si="7"/>
        <v>2.7</v>
      </c>
    </row>
    <row r="69" s="3" customFormat="1" ht="42" customHeight="1" spans="1:32">
      <c r="A69" s="17" t="s">
        <v>423</v>
      </c>
      <c r="B69" s="18" t="s">
        <v>424</v>
      </c>
      <c r="C69" s="19" t="s">
        <v>425</v>
      </c>
      <c r="D69" s="20"/>
      <c r="E69" s="21" t="s">
        <v>426</v>
      </c>
      <c r="F69" s="19" t="s">
        <v>34</v>
      </c>
      <c r="G69" s="19" t="s">
        <v>34</v>
      </c>
      <c r="H69" s="17">
        <v>8515110000</v>
      </c>
      <c r="I69" s="17">
        <v>85151100</v>
      </c>
      <c r="J69" s="27" t="s">
        <v>427</v>
      </c>
      <c r="K69" s="28" t="s">
        <v>249</v>
      </c>
      <c r="L69" s="19" t="s">
        <v>250</v>
      </c>
      <c r="M69" s="19" t="s">
        <v>34</v>
      </c>
      <c r="N69" s="19" t="s">
        <v>34</v>
      </c>
      <c r="O69" s="29" t="s">
        <v>428</v>
      </c>
      <c r="P69" s="19" t="s">
        <v>39</v>
      </c>
      <c r="Q69" s="19" t="s">
        <v>40</v>
      </c>
      <c r="R69" s="44"/>
      <c r="S69" s="19"/>
      <c r="T69" s="19">
        <v>30</v>
      </c>
      <c r="U69" s="45">
        <v>35</v>
      </c>
      <c r="V69" s="46">
        <f t="shared" si="6"/>
        <v>5.5675</v>
      </c>
      <c r="W69" s="47">
        <f t="shared" si="5"/>
        <v>167.03</v>
      </c>
      <c r="X69" s="49"/>
      <c r="Y69" s="49"/>
      <c r="Z69" s="58"/>
      <c r="AA69" s="17">
        <v>9</v>
      </c>
      <c r="AB69" s="49"/>
      <c r="AC69" s="17" t="s">
        <v>429</v>
      </c>
      <c r="AD69" s="21" t="s">
        <v>401</v>
      </c>
      <c r="AE69" s="59" t="s">
        <v>45</v>
      </c>
      <c r="AF69" s="60">
        <f t="shared" si="7"/>
        <v>37.8</v>
      </c>
    </row>
    <row r="70" s="3" customFormat="1" ht="42" customHeight="1" spans="1:32">
      <c r="A70" s="17" t="s">
        <v>430</v>
      </c>
      <c r="B70" s="18" t="s">
        <v>431</v>
      </c>
      <c r="C70" s="19" t="s">
        <v>432</v>
      </c>
      <c r="D70" s="20"/>
      <c r="E70" s="21" t="s">
        <v>433</v>
      </c>
      <c r="F70" s="19" t="s">
        <v>34</v>
      </c>
      <c r="G70" s="19" t="s">
        <v>34</v>
      </c>
      <c r="H70" s="17">
        <v>8503009090</v>
      </c>
      <c r="I70" s="17">
        <v>85030090</v>
      </c>
      <c r="J70" s="27" t="s">
        <v>434</v>
      </c>
      <c r="K70" s="28" t="s">
        <v>241</v>
      </c>
      <c r="L70" s="19" t="s">
        <v>223</v>
      </c>
      <c r="M70" s="19" t="s">
        <v>435</v>
      </c>
      <c r="N70" s="19" t="s">
        <v>236</v>
      </c>
      <c r="O70" s="29" t="s">
        <v>428</v>
      </c>
      <c r="P70" s="19" t="s">
        <v>39</v>
      </c>
      <c r="Q70" s="19" t="s">
        <v>40</v>
      </c>
      <c r="R70" s="44"/>
      <c r="S70" s="19"/>
      <c r="T70" s="19">
        <v>60</v>
      </c>
      <c r="U70" s="45">
        <v>26.8</v>
      </c>
      <c r="V70" s="46">
        <f t="shared" si="6"/>
        <v>4.2631</v>
      </c>
      <c r="W70" s="47">
        <f t="shared" si="5"/>
        <v>255.79</v>
      </c>
      <c r="X70" s="49"/>
      <c r="Y70" s="49"/>
      <c r="Z70" s="58"/>
      <c r="AA70" s="17">
        <v>13</v>
      </c>
      <c r="AB70" s="49"/>
      <c r="AC70" s="17" t="s">
        <v>436</v>
      </c>
      <c r="AD70" s="21" t="s">
        <v>401</v>
      </c>
      <c r="AE70" s="59" t="s">
        <v>45</v>
      </c>
      <c r="AF70" s="60">
        <f t="shared" si="7"/>
        <v>28.944</v>
      </c>
    </row>
    <row r="71" s="3" customFormat="1" ht="42" customHeight="1" spans="1:32">
      <c r="A71" s="17" t="s">
        <v>437</v>
      </c>
      <c r="B71" s="18" t="s">
        <v>438</v>
      </c>
      <c r="C71" s="19" t="s">
        <v>439</v>
      </c>
      <c r="D71" s="20"/>
      <c r="E71" s="21" t="s">
        <v>440</v>
      </c>
      <c r="F71" s="19" t="s">
        <v>34</v>
      </c>
      <c r="G71" s="19" t="s">
        <v>34</v>
      </c>
      <c r="H71" s="17">
        <v>8473309000</v>
      </c>
      <c r="I71" s="17">
        <v>84733090</v>
      </c>
      <c r="J71" s="27" t="s">
        <v>441</v>
      </c>
      <c r="K71" s="28" t="s">
        <v>249</v>
      </c>
      <c r="L71" s="19" t="s">
        <v>250</v>
      </c>
      <c r="M71" s="19" t="s">
        <v>34</v>
      </c>
      <c r="N71" s="19" t="s">
        <v>34</v>
      </c>
      <c r="O71" s="29" t="s">
        <v>428</v>
      </c>
      <c r="P71" s="19" t="s">
        <v>39</v>
      </c>
      <c r="Q71" s="19" t="s">
        <v>40</v>
      </c>
      <c r="R71" s="44"/>
      <c r="S71" s="19"/>
      <c r="T71" s="19">
        <v>4</v>
      </c>
      <c r="U71" s="45">
        <v>450</v>
      </c>
      <c r="V71" s="46">
        <f t="shared" ref="V71:V76" si="8">ROUND(U71/1.13*1.08/6.7894,4)</f>
        <v>63.3471</v>
      </c>
      <c r="W71" s="47">
        <f t="shared" si="5"/>
        <v>253.39</v>
      </c>
      <c r="X71" s="49"/>
      <c r="Y71" s="49"/>
      <c r="Z71" s="58"/>
      <c r="AA71" s="17">
        <v>0.12</v>
      </c>
      <c r="AB71" s="49"/>
      <c r="AC71" s="17" t="s">
        <v>442</v>
      </c>
      <c r="AD71" s="21" t="s">
        <v>401</v>
      </c>
      <c r="AE71" s="59" t="s">
        <v>45</v>
      </c>
      <c r="AF71" s="60">
        <f t="shared" ref="AF71:AF76" si="9">ROUND(U71/1.13*1.08,4)</f>
        <v>430.0885</v>
      </c>
    </row>
    <row r="72" s="3" customFormat="1" ht="42" customHeight="1" spans="1:32">
      <c r="A72" s="17" t="s">
        <v>437</v>
      </c>
      <c r="B72" s="18" t="s">
        <v>438</v>
      </c>
      <c r="C72" s="19" t="s">
        <v>439</v>
      </c>
      <c r="D72" s="20"/>
      <c r="E72" s="21" t="s">
        <v>443</v>
      </c>
      <c r="F72" s="19" t="s">
        <v>34</v>
      </c>
      <c r="G72" s="19" t="s">
        <v>34</v>
      </c>
      <c r="H72" s="17">
        <v>8473309000</v>
      </c>
      <c r="I72" s="17">
        <v>84733090</v>
      </c>
      <c r="J72" s="27" t="s">
        <v>444</v>
      </c>
      <c r="K72" s="28" t="s">
        <v>249</v>
      </c>
      <c r="L72" s="19" t="s">
        <v>250</v>
      </c>
      <c r="M72" s="19" t="s">
        <v>34</v>
      </c>
      <c r="N72" s="19" t="s">
        <v>34</v>
      </c>
      <c r="O72" s="29" t="s">
        <v>428</v>
      </c>
      <c r="P72" s="19" t="s">
        <v>39</v>
      </c>
      <c r="Q72" s="19" t="s">
        <v>40</v>
      </c>
      <c r="R72" s="44"/>
      <c r="S72" s="19"/>
      <c r="T72" s="19">
        <v>2</v>
      </c>
      <c r="U72" s="45">
        <v>2600</v>
      </c>
      <c r="V72" s="46">
        <f t="shared" si="8"/>
        <v>366.0052</v>
      </c>
      <c r="W72" s="47">
        <f t="shared" si="5"/>
        <v>732.01</v>
      </c>
      <c r="X72" s="50"/>
      <c r="Y72" s="50"/>
      <c r="Z72" s="61"/>
      <c r="AA72" s="17">
        <v>0.07</v>
      </c>
      <c r="AB72" s="50"/>
      <c r="AC72" s="17" t="s">
        <v>442</v>
      </c>
      <c r="AD72" s="21" t="s">
        <v>401</v>
      </c>
      <c r="AE72" s="59" t="s">
        <v>45</v>
      </c>
      <c r="AF72" s="60">
        <f t="shared" si="9"/>
        <v>2484.9558</v>
      </c>
    </row>
    <row r="73" s="3" customFormat="1" ht="42" customHeight="1" spans="1:32">
      <c r="A73" s="17" t="s">
        <v>445</v>
      </c>
      <c r="B73" s="18" t="s">
        <v>446</v>
      </c>
      <c r="C73" s="19" t="s">
        <v>183</v>
      </c>
      <c r="D73" s="20"/>
      <c r="E73" s="19" t="s">
        <v>34</v>
      </c>
      <c r="F73" s="19" t="s">
        <v>34</v>
      </c>
      <c r="G73" s="19" t="s">
        <v>447</v>
      </c>
      <c r="H73" s="17">
        <v>8477900000</v>
      </c>
      <c r="I73" s="17">
        <v>84779039</v>
      </c>
      <c r="J73" s="27" t="s">
        <v>448</v>
      </c>
      <c r="K73" s="28"/>
      <c r="L73" s="19" t="s">
        <v>449</v>
      </c>
      <c r="M73" s="19" t="s">
        <v>34</v>
      </c>
      <c r="N73" s="19" t="s">
        <v>34</v>
      </c>
      <c r="O73" s="65" t="s">
        <v>450</v>
      </c>
      <c r="P73" s="19" t="s">
        <v>39</v>
      </c>
      <c r="Q73" s="19" t="s">
        <v>40</v>
      </c>
      <c r="R73" s="44"/>
      <c r="S73" s="19"/>
      <c r="T73" s="19">
        <v>1</v>
      </c>
      <c r="U73" s="45">
        <v>300</v>
      </c>
      <c r="V73" s="46">
        <f t="shared" si="8"/>
        <v>42.2314</v>
      </c>
      <c r="W73" s="47">
        <f t="shared" si="5"/>
        <v>42.23</v>
      </c>
      <c r="X73" s="48" t="s">
        <v>451</v>
      </c>
      <c r="Y73" s="48">
        <v>1</v>
      </c>
      <c r="Z73" s="62">
        <v>3.63</v>
      </c>
      <c r="AA73" s="17">
        <v>0.51</v>
      </c>
      <c r="AB73" s="48" t="s">
        <v>452</v>
      </c>
      <c r="AC73" s="17" t="s">
        <v>453</v>
      </c>
      <c r="AD73" s="21" t="s">
        <v>454</v>
      </c>
      <c r="AE73" s="59" t="s">
        <v>45</v>
      </c>
      <c r="AF73" s="60">
        <f t="shared" si="9"/>
        <v>286.7257</v>
      </c>
    </row>
    <row r="74" s="3" customFormat="1" ht="42" customHeight="1" spans="1:32">
      <c r="A74" s="17" t="s">
        <v>445</v>
      </c>
      <c r="B74" s="18" t="s">
        <v>446</v>
      </c>
      <c r="C74" s="19" t="s">
        <v>183</v>
      </c>
      <c r="D74" s="20"/>
      <c r="E74" s="19" t="s">
        <v>34</v>
      </c>
      <c r="F74" s="19" t="s">
        <v>34</v>
      </c>
      <c r="G74" s="19" t="s">
        <v>455</v>
      </c>
      <c r="H74" s="17">
        <v>8477900000</v>
      </c>
      <c r="I74" s="17">
        <v>84779039</v>
      </c>
      <c r="J74" s="27" t="s">
        <v>456</v>
      </c>
      <c r="K74" s="28"/>
      <c r="L74" s="19" t="s">
        <v>449</v>
      </c>
      <c r="M74" s="19" t="s">
        <v>34</v>
      </c>
      <c r="N74" s="19" t="s">
        <v>34</v>
      </c>
      <c r="O74" s="65" t="s">
        <v>450</v>
      </c>
      <c r="P74" s="19" t="s">
        <v>39</v>
      </c>
      <c r="Q74" s="19" t="s">
        <v>40</v>
      </c>
      <c r="R74" s="44"/>
      <c r="S74" s="19"/>
      <c r="T74" s="19">
        <v>1</v>
      </c>
      <c r="U74" s="45">
        <v>300</v>
      </c>
      <c r="V74" s="46">
        <f t="shared" si="8"/>
        <v>42.2314</v>
      </c>
      <c r="W74" s="47">
        <f t="shared" si="5"/>
        <v>42.23</v>
      </c>
      <c r="X74" s="49"/>
      <c r="Y74" s="49"/>
      <c r="Z74" s="58"/>
      <c r="AA74" s="17">
        <v>0.7</v>
      </c>
      <c r="AB74" s="49"/>
      <c r="AC74" s="17" t="s">
        <v>457</v>
      </c>
      <c r="AD74" s="21" t="s">
        <v>454</v>
      </c>
      <c r="AE74" s="59" t="s">
        <v>45</v>
      </c>
      <c r="AF74" s="60">
        <f t="shared" si="9"/>
        <v>286.7257</v>
      </c>
    </row>
    <row r="75" s="3" customFormat="1" ht="42" customHeight="1" spans="1:32">
      <c r="A75" s="17" t="s">
        <v>445</v>
      </c>
      <c r="B75" s="18" t="s">
        <v>446</v>
      </c>
      <c r="C75" s="19" t="s">
        <v>183</v>
      </c>
      <c r="D75" s="20"/>
      <c r="E75" s="19" t="s">
        <v>34</v>
      </c>
      <c r="F75" s="19" t="s">
        <v>34</v>
      </c>
      <c r="G75" s="19" t="s">
        <v>458</v>
      </c>
      <c r="H75" s="17">
        <v>8477900000</v>
      </c>
      <c r="I75" s="17">
        <v>84779039</v>
      </c>
      <c r="J75" s="27" t="s">
        <v>459</v>
      </c>
      <c r="K75" s="28"/>
      <c r="L75" s="19" t="s">
        <v>449</v>
      </c>
      <c r="M75" s="19" t="s">
        <v>34</v>
      </c>
      <c r="N75" s="19" t="s">
        <v>34</v>
      </c>
      <c r="O75" s="65" t="s">
        <v>450</v>
      </c>
      <c r="P75" s="19" t="s">
        <v>39</v>
      </c>
      <c r="Q75" s="19" t="s">
        <v>40</v>
      </c>
      <c r="R75" s="44"/>
      <c r="S75" s="19"/>
      <c r="T75" s="19">
        <v>1</v>
      </c>
      <c r="U75" s="45">
        <v>800</v>
      </c>
      <c r="V75" s="46">
        <f t="shared" si="8"/>
        <v>112.617</v>
      </c>
      <c r="W75" s="47">
        <f t="shared" si="5"/>
        <v>112.62</v>
      </c>
      <c r="X75" s="50"/>
      <c r="Y75" s="50"/>
      <c r="Z75" s="61"/>
      <c r="AA75" s="17">
        <v>1.88</v>
      </c>
      <c r="AB75" s="50"/>
      <c r="AC75" s="17" t="s">
        <v>460</v>
      </c>
      <c r="AD75" s="21" t="s">
        <v>454</v>
      </c>
      <c r="AE75" s="59" t="s">
        <v>45</v>
      </c>
      <c r="AF75" s="60">
        <f t="shared" si="9"/>
        <v>764.6018</v>
      </c>
    </row>
    <row r="76" s="3" customFormat="1" ht="60" customHeight="1" spans="1:32">
      <c r="A76" s="17" t="s">
        <v>461</v>
      </c>
      <c r="B76" s="18" t="s">
        <v>462</v>
      </c>
      <c r="C76" s="21" t="s">
        <v>463</v>
      </c>
      <c r="D76" s="20"/>
      <c r="E76" s="21" t="s">
        <v>464</v>
      </c>
      <c r="F76" s="21" t="s">
        <v>34</v>
      </c>
      <c r="G76" s="21" t="s">
        <v>465</v>
      </c>
      <c r="H76" s="17">
        <v>8471494000</v>
      </c>
      <c r="I76" s="17">
        <v>84714910</v>
      </c>
      <c r="J76" s="32" t="s">
        <v>466</v>
      </c>
      <c r="K76" s="20"/>
      <c r="L76" s="19" t="s">
        <v>467</v>
      </c>
      <c r="M76" s="19" t="s">
        <v>468</v>
      </c>
      <c r="N76" s="19" t="s">
        <v>469</v>
      </c>
      <c r="O76" s="33" t="s">
        <v>470</v>
      </c>
      <c r="P76" s="19" t="s">
        <v>39</v>
      </c>
      <c r="Q76" s="19" t="s">
        <v>40</v>
      </c>
      <c r="R76" s="44"/>
      <c r="S76" s="19"/>
      <c r="T76" s="19">
        <v>3</v>
      </c>
      <c r="U76" s="45">
        <v>1800</v>
      </c>
      <c r="V76" s="46">
        <f t="shared" si="8"/>
        <v>253.3882</v>
      </c>
      <c r="W76" s="47">
        <f t="shared" si="5"/>
        <v>760.16</v>
      </c>
      <c r="X76" s="51" t="s">
        <v>471</v>
      </c>
      <c r="Y76" s="51">
        <v>1</v>
      </c>
      <c r="Z76" s="64">
        <v>4.84</v>
      </c>
      <c r="AA76" s="47">
        <v>4</v>
      </c>
      <c r="AB76" s="51" t="s">
        <v>472</v>
      </c>
      <c r="AC76" s="19" t="s">
        <v>473</v>
      </c>
      <c r="AD76" s="21" t="s">
        <v>474</v>
      </c>
      <c r="AE76" s="59" t="s">
        <v>475</v>
      </c>
      <c r="AF76" s="46">
        <f t="shared" si="9"/>
        <v>1720.354</v>
      </c>
    </row>
    <row r="77" customHeight="1" spans="20:27">
      <c r="T77" s="3">
        <f>SUM(T2:T76)</f>
        <v>1114</v>
      </c>
      <c r="W77" s="7">
        <f>SUM(W2:W76)</f>
        <v>14055.14</v>
      </c>
      <c r="Y77" s="4">
        <f>SUM(Y2:Y76)</f>
        <v>14</v>
      </c>
      <c r="Z77" s="4">
        <f>SUM(Z2:Z76)</f>
        <v>550.69</v>
      </c>
      <c r="AA77" s="3">
        <f>SUM(AA2:AA76)</f>
        <v>527.19</v>
      </c>
    </row>
  </sheetData>
  <autoFilter ref="A1:AF77">
    <extLst/>
  </autoFilter>
  <mergeCells count="40">
    <mergeCell ref="X2:X5"/>
    <mergeCell ref="X6:X25"/>
    <mergeCell ref="X26:X27"/>
    <mergeCell ref="X28:X37"/>
    <mergeCell ref="X38:X46"/>
    <mergeCell ref="X50:X52"/>
    <mergeCell ref="X53:X57"/>
    <mergeCell ref="X58:X64"/>
    <mergeCell ref="X66:X72"/>
    <mergeCell ref="X73:X75"/>
    <mergeCell ref="Y2:Y5"/>
    <mergeCell ref="Y6:Y25"/>
    <mergeCell ref="Y26:Y27"/>
    <mergeCell ref="Y28:Y37"/>
    <mergeCell ref="Y38:Y46"/>
    <mergeCell ref="Y50:Y52"/>
    <mergeCell ref="Y53:Y57"/>
    <mergeCell ref="Y58:Y64"/>
    <mergeCell ref="Y66:Y72"/>
    <mergeCell ref="Y73:Y75"/>
    <mergeCell ref="Z2:Z5"/>
    <mergeCell ref="Z6:Z25"/>
    <mergeCell ref="Z26:Z27"/>
    <mergeCell ref="Z28:Z37"/>
    <mergeCell ref="Z38:Z46"/>
    <mergeCell ref="Z50:Z52"/>
    <mergeCell ref="Z53:Z57"/>
    <mergeCell ref="Z58:Z64"/>
    <mergeCell ref="Z66:Z72"/>
    <mergeCell ref="Z73:Z75"/>
    <mergeCell ref="AB2:AB5"/>
    <mergeCell ref="AB6:AB25"/>
    <mergeCell ref="AB26:AB27"/>
    <mergeCell ref="AB28:AB37"/>
    <mergeCell ref="AB38:AB46"/>
    <mergeCell ref="AB50:AB52"/>
    <mergeCell ref="AB53:AB57"/>
    <mergeCell ref="AB58:AB64"/>
    <mergeCell ref="AB66:AB72"/>
    <mergeCell ref="AB73:AB75"/>
  </mergeCells>
  <pageMargins left="0.118055555555556" right="0.0777777777777778" top="0.747916666666667" bottom="0.747916666666667" header="0.313888888888889" footer="0.313888888888889"/>
  <pageSetup paperSize="8" scale="75" orientation="portrait" horizontalDpi="60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M20260802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MSD03</cp:lastModifiedBy>
  <dcterms:created xsi:type="dcterms:W3CDTF">2021-07-22T02:15:00Z</dcterms:created>
  <cp:lastPrinted>2021-07-22T06:54:00Z</cp:lastPrinted>
  <dcterms:modified xsi:type="dcterms:W3CDTF">2026-08-18T05:46:24Z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6FA752741D634D89BC9BC7EDBA501563</vt:lpwstr>
  </property>
</Properties>
</file>