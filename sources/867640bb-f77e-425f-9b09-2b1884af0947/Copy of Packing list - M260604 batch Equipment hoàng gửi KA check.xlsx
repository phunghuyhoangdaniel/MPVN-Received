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media/image8.png" ContentType="image/png"/>
  <Override PartName="/xl/media/image3.jpeg" ContentType="image/jpeg"/>
  <Override PartName="/xl/media/image5.png" ContentType="image/png"/>
  <Override PartName="/xl/media/image4.jpeg" ContentType="image/jpeg"/>
  <Override PartName="/xl/media/image21.png" ContentType="image/png"/>
  <Override PartName="/xl/media/image6.jpeg" ContentType="image/jpeg"/>
  <Override PartName="/xl/media/image7.jpeg" ContentType="image/jpeg"/>
  <Override PartName="/xl/media/image31.png" ContentType="image/png"/>
  <Override PartName="/xl/media/image9.jpeg" ContentType="image/jpeg"/>
  <Override PartName="/xl/media/image10.png" ContentType="image/png"/>
  <Override PartName="/xl/media/image11.jpeg" ContentType="image/jpeg"/>
  <Override PartName="/xl/media/image12.png" ContentType="image/png"/>
  <Override PartName="/xl/media/image18.jpeg" ContentType="image/jpeg"/>
  <Override PartName="/xl/media/image13.jpeg" ContentType="image/jpeg"/>
  <Override PartName="/xl/media/image19.png" ContentType="image/png"/>
  <Override PartName="/xl/media/image14.jpeg" ContentType="image/jpeg"/>
  <Override PartName="/xl/media/image29.png" ContentType="image/png"/>
  <Override PartName="/xl/media/image15.png" ContentType="image/png"/>
  <Override PartName="/xl/media/image16.jpeg" ContentType="image/jpeg"/>
  <Override PartName="/xl/media/image17.png" ContentType="image/png"/>
  <Override PartName="/xl/media/image24.jpeg" ContentType="image/jpeg"/>
  <Override PartName="/xl/media/image20.jpeg" ContentType="image/jpeg"/>
  <Override PartName="/xl/media/image22.jpeg" ContentType="image/jpeg"/>
  <Override PartName="/xl/media/image23.png" ContentType="image/png"/>
  <Override PartName="/xl/media/image25.png" ContentType="image/png"/>
  <Override PartName="/xl/media/image26.jpeg" ContentType="image/jpeg"/>
  <Override PartName="/xl/media/image27.jpeg" ContentType="image/jpeg"/>
  <Override PartName="/xl/media/image28.jpeg" ContentType="image/jpeg"/>
  <Override PartName="/xl/media/image30.jpeg" ContentType="image/jpeg"/>
  <Override PartName="/xl/media/image32.png" ContentType="image/png"/>
  <Override PartName="/xl/media/image33.jpeg" ContentType="image/jpeg"/>
  <Override PartName="/xl/media/image34.png" ContentType="image/png"/>
  <Override PartName="/xl/media/image35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604" sheetId="1" state="visible" r:id="rId3"/>
  </sheets>
  <definedNames>
    <definedName function="false" hidden="true" localSheetId="0" name="_xlnm._FilterDatabase" vbProcedure="false">M20260604!$A$1:$AE$22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<sst xmlns="http://schemas.openxmlformats.org/spreadsheetml/2006/main" count="344" uniqueCount="189">
  <si>
    <t xml:space="preserve">1) ENGLISH ITEM NAME
 (ex : OOOO machine)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</si>
  <si>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</si>
  <si>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</si>
  <si>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</si>
  <si>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</si>
  <si>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</si>
  <si>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</si>
  <si>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</si>
  <si>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</si>
  <si>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</si>
  <si>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</si>
  <si>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</si>
  <si>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</si>
  <si>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</si>
  <si>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</si>
  <si>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</si>
  <si>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</si>
  <si>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</si>
  <si>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</si>
  <si>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</si>
  <si>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</si>
  <si>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</si>
  <si>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</si>
  <si>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</si>
  <si>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</si>
  <si>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</si>
  <si>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</si>
  <si>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</si>
  <si>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</si>
  <si>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PNEUMATIC HOT PRESS</t>
  </si>
  <si>
    <t xml:space="preserve">Máy ép nhiệt khí nén (XHS-R07) dùng để ép/đóng gói/hàn nhiệt cho nhựa, cao su, điện áp 220V, công suất 3KW, NSX: SHENZHEN XHS TECHNOLOGY CO., LTD, Năm SX: 2026</t>
  </si>
  <si>
    <t xml:space="preserve">XHS-R07</t>
  </si>
  <si>
    <t xml:space="preserve">/</t>
  </si>
  <si>
    <t xml:space="preserve">XHS202611001</t>
  </si>
  <si>
    <t xml:space="preserve">84798969- máy đa chức năng 
84223000-máy đóng gói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</si>
  <si>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封装</t>
    </r>
    <r>
      <rPr>
        <sz val="10"/>
        <color rgb="FF000000"/>
        <rFont val="Arial"/>
        <family val="0"/>
        <charset val="134"/>
      </rPr>
      <t xml:space="preserve">,</t>
    </r>
    <r>
      <rPr>
        <sz val="10"/>
        <color rgb="FF000000"/>
        <rFont val="宋体"/>
        <family val="0"/>
        <charset val="134"/>
      </rPr>
      <t xml:space="preserve">热封通用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塑胶、橡胶、复合材料加工</t>
    </r>
    <r>
      <rPr>
        <sz val="10"/>
        <color rgb="FF000000"/>
        <rFont val="Arial"/>
        <family val="0"/>
        <charset val="134"/>
      </rPr>
      <t xml:space="preserve">|XHS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|XHS-R07</t>
    </r>
    <r>
      <rPr>
        <sz val="10"/>
        <color rgb="FF000000"/>
        <rFont val="宋体"/>
        <family val="0"/>
        <charset val="134"/>
      </rPr>
      <t xml:space="preserve">型</t>
    </r>
  </si>
  <si>
    <t xml:space="preserve">IRON</t>
  </si>
  <si>
    <t xml:space="preserve">220V</t>
  </si>
  <si>
    <t xml:space="preserve">3KW</t>
  </si>
  <si>
    <t xml:space="preserve">CHINA</t>
  </si>
  <si>
    <t xml:space="preserve">NEW</t>
  </si>
  <si>
    <t xml:space="preserve">W1</t>
  </si>
  <si>
    <t xml:space="preserve">90*70*180</t>
  </si>
  <si>
    <t xml:space="preserve">80*60x173</t>
  </si>
  <si>
    <t xml:space="preserve">PRODUCTION ASSEMBLE</t>
  </si>
  <si>
    <t xml:space="preserve">NO</t>
  </si>
  <si>
    <t xml:space="preserve">50W FIBER VISION LASER MARKING MACHINE</t>
  </si>
  <si>
    <t xml:space="preserve">Máy khắc laser quang học, model: HC-FXC50W, dùng để khắc/ký hiệu lên bề mặt kim loại, công suất &gt;1Kw, điện áp 220V/52Hz, NSX: DONGGUAN HONGCHUANG LASER TECHNOLOGY CO., LTD, Năm SX: 2026</t>
  </si>
  <si>
    <t xml:space="preserve">HC-FXC50W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</si>
  <si>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金属表面激光处理应用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激光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弘创牌</t>
    </r>
    <r>
      <rPr>
        <sz val="10"/>
        <color rgb="FF000000"/>
        <rFont val="Arial"/>
        <family val="0"/>
        <charset val="134"/>
      </rPr>
      <t xml:space="preserve">|HC-FXC50W</t>
    </r>
    <r>
      <rPr>
        <sz val="10"/>
        <color rgb="FF000000"/>
        <rFont val="宋体"/>
        <family val="0"/>
        <charset val="134"/>
      </rPr>
      <t xml:space="preserve">型</t>
    </r>
  </si>
  <si>
    <t xml:space="preserve">W2</t>
  </si>
  <si>
    <t xml:space="preserve">130*100*160</t>
  </si>
  <si>
    <t xml:space="preserve">122*90x150</t>
  </si>
  <si>
    <t xml:space="preserve">DESKTOP SMOKING DEVICE</t>
  </si>
  <si>
    <t xml:space="preserve">Máy hút khói để bàn (ST-100XP), để lọc khói và tạp chất kim loại trong khí thải từ hàn/laser, điện áp AC220V, công suất 15W, NSX: SHENZHEN CHUANGSHIDAI ELECTRONIC TECHNOLOGY CO., LTD, Năm SX: 2026</t>
  </si>
  <si>
    <t xml:space="preserve">ST-100XP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</si>
  <si>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用于过滤激光焊接工站产生的气体烟雾中的金属杂质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非装备不锈钢外壳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非装备不锈钢外壳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风机制造负压将焊接</t>
    </r>
    <r>
      <rPr>
        <sz val="10"/>
        <color rgb="FF000000"/>
        <rFont val="Arial"/>
        <family val="0"/>
        <charset val="134"/>
      </rPr>
      <t xml:space="preserve">/</t>
    </r>
    <r>
      <rPr>
        <sz val="10"/>
        <color rgb="FF000000"/>
        <rFont val="宋体"/>
        <family val="0"/>
        <charset val="134"/>
      </rPr>
      <t xml:space="preserve">激光加工产生的烟尘吸入主机，依次经过初效棉、活性炭、高效滤芯分层拦截粉尘与吸附有害气味，最后排出干净空气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创时代牌</t>
    </r>
    <r>
      <rPr>
        <sz val="10"/>
        <color rgb="FF000000"/>
        <rFont val="Arial"/>
        <family val="0"/>
        <charset val="134"/>
      </rPr>
      <t xml:space="preserve">|ST-100XP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|15W</t>
    </r>
  </si>
  <si>
    <t xml:space="preserve">塑料+铁+电子元件</t>
  </si>
  <si>
    <t xml:space="preserve">PLC+IRON+ELECTRONIC</t>
  </si>
  <si>
    <t xml:space="preserve">AC220</t>
  </si>
  <si>
    <t xml:space="preserve">15W</t>
  </si>
  <si>
    <t xml:space="preserve">W4</t>
  </si>
  <si>
    <t xml:space="preserve">60x40x40</t>
  </si>
  <si>
    <t xml:space="preserve">32X24X14</t>
  </si>
  <si>
    <t xml:space="preserve">TOOLING</t>
  </si>
  <si>
    <t xml:space="preserve">USB PRINTING CABLE</t>
  </si>
  <si>
    <t xml:space="preserve">Cáp in USB (DW-UDY4015), dùng để kết nối máy in với máy tính, đã gắn đầu nối, vỏ bọc cách điện bằng nhựa, dùng cho điện áp 30V, chiều dài 1.5m,NSX: GUANGZHOU SHUOJIE NETWORK TECHNOLOGY CO., LTD</t>
  </si>
  <si>
    <t xml:space="preserve">DW-UDY4015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</si>
  <si>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打印机用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有接头；非同轴电缆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|DW-UDY4015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|30V</t>
    </r>
  </si>
  <si>
    <t xml:space="preserve">线材</t>
  </si>
  <si>
    <t xml:space="preserve">WIRE</t>
  </si>
  <si>
    <t xml:space="preserve">23X12.5X2</t>
  </si>
  <si>
    <t xml:space="preserve">TEST USE</t>
  </si>
  <si>
    <t xml:space="preserve">SCREW</t>
  </si>
  <si>
    <t xml:space="preserve">Trục vít (SP-25)-bộ phận của máy vặn vít tự động, chất liệu bằn sắt, NSX: SHENZHEN CHISU CO., LTD</t>
  </si>
  <si>
    <t xml:space="preserve">SP-25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</si>
  <si>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设备通用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SP-25型</t>
    </r>
  </si>
  <si>
    <t xml:space="preserve">铁</t>
  </si>
  <si>
    <t xml:space="preserve">10x0.6</t>
  </si>
  <si>
    <t xml:space="preserve">WIRE WOUND RESISTOR</t>
  </si>
  <si>
    <t xml:space="preserve">Điện trở dây quấn (100W/4Ω, có tác dụng hạn chế dòng điện trong mạch, bằng gốm, NSX: RUIYUAN RESISTANCE FACTORY</t>
  </si>
  <si>
    <t xml:space="preserve">100W/4Ω</t>
  </si>
  <si>
    <r>
      <rPr>
        <sz val="10"/>
        <color rgb="FF000000"/>
        <rFont val="Arial"/>
        <family val="0"/>
        <charset val="134"/>
      </rPr>
      <t xml:space="preserve">0|1|100W|</t>
    </r>
    <r>
      <rPr>
        <sz val="10"/>
        <color rgb="FF000000"/>
        <rFont val="宋体"/>
        <family val="0"/>
        <charset val="134"/>
      </rPr>
      <t xml:space="preserve">线绕式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100W/4Ω型</t>
    </r>
  </si>
  <si>
    <t xml:space="preserve">陶瓷</t>
  </si>
  <si>
    <t xml:space="preserve">CERAMIC</t>
  </si>
  <si>
    <t xml:space="preserve">22x7x3</t>
  </si>
  <si>
    <t xml:space="preserve">RUBBER WHEEL</t>
  </si>
  <si>
    <t xml:space="preserve">Bánh xe cao su (100x50), dùng để di chuyển hoặc đỡ vật liệu, chất liệu bằng cao su lưu hóa, NSX: TECHSEN ELECTRONICS(SHENZHEN)CO.,LTD</t>
  </si>
  <si>
    <t xml:space="preserve">100X50</t>
  </si>
  <si>
    <t xml:space="preserve">40169959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</si>
  <si>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|PU|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100X50型</t>
    </r>
  </si>
  <si>
    <t xml:space="preserve">塑胶</t>
  </si>
  <si>
    <t xml:space="preserve">PLC</t>
  </si>
  <si>
    <t xml:space="preserve">10X5</t>
  </si>
  <si>
    <t xml:space="preserve">THREE CORE ELECTRIC WIRE</t>
  </si>
  <si>
    <r>
      <rPr>
        <sz val="10"/>
        <rFont val="Arial"/>
        <family val="2"/>
        <charset val="1"/>
      </rPr>
      <t xml:space="preserve">Dây điện ba lõi, dùng cấp nguồn cho thiết bị móc sản xuất, vỏ bọc cách điện bằng nhựa, dùng cho điện áp 300V,</t>
    </r>
    <r>
      <rPr>
        <sz val="10"/>
        <color rgb="FFFF0000"/>
        <rFont val="Arial"/>
        <family val="2"/>
        <charset val="1"/>
      </rPr>
      <t xml:space="preserve"> đường kính mỗi lõi bao nhiêu</t>
    </r>
  </si>
  <si>
    <t xml:space="preserve">Dây điện có tiết diện lõi \(1\text{ mm}^2\)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</si>
  <si>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无接头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  <r>
      <rPr>
        <sz val="10"/>
        <color rgb="FF000000"/>
        <rFont val="Arial"/>
        <family val="0"/>
        <charset val="134"/>
      </rPr>
      <t xml:space="preserve">|300V</t>
    </r>
  </si>
  <si>
    <t xml:space="preserve">30X30</t>
  </si>
  <si>
    <t xml:space="preserve">POWER WIR</t>
  </si>
  <si>
    <r>
      <rPr>
        <sz val="10"/>
        <rFont val="Arial"/>
        <family val="2"/>
        <charset val="1"/>
      </rPr>
      <t xml:space="preserve">Dây nguồn (DC5.5x2.5), dùng để cấp nguồn cho thiết bị khi kiểm tra, </t>
    </r>
    <r>
      <rPr>
        <sz val="10"/>
        <color rgb="FFFF0000"/>
        <rFont val="Arial"/>
        <family val="2"/>
        <charset val="1"/>
      </rPr>
      <t xml:space="preserve">có gắn đầu nối hay không, vỏ bọc cách điện là gì, dùng cho điện áp baoi nhieue, chiều dài bao nhieu</t>
    </r>
  </si>
  <si>
    <t xml:space="preserve">Dây nguồn DC có gắn đầu nối DC 5.5 × 2.5 mm, lõi dẫn bằng đồng, vỏ bọc cách điện bằng nhựa PVC, dùng để cấp nguồn DC cho thiết bị kiểm tra.</t>
  </si>
  <si>
    <t xml:space="preserve">DC5.5X2.5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</si>
  <si>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测试用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有接头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DC5.5X2.5型</t>
    </r>
    <r>
      <rPr>
        <sz val="10"/>
        <color rgb="FF000000"/>
        <rFont val="Arial"/>
        <family val="0"/>
        <charset val="134"/>
      </rPr>
      <t xml:space="preserve">|300V</t>
    </r>
  </si>
  <si>
    <t xml:space="preserve">塑胶+线材</t>
  </si>
  <si>
    <t xml:space="preserve">WIRE+PLC</t>
  </si>
  <si>
    <t xml:space="preserve">24X2.5X2</t>
  </si>
  <si>
    <t xml:space="preserve">TOOL REPAIR</t>
  </si>
  <si>
    <t xml:space="preserve">AUDIO PLUG</t>
  </si>
  <si>
    <t xml:space="preserve">Đầu cắm âm thanh (6.35mm) - dùng để kết nối thiết bị âm thanh, bằng đồng, NSX: YONGSHENG ELECTRONICS CO., LTD</t>
  </si>
  <si>
    <t xml:space="preserve">6.35mm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</si>
  <si>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音频系统用</t>
    </r>
    <r>
      <rPr>
        <sz val="10"/>
        <color rgb="FF000000"/>
        <rFont val="Arial"/>
        <family val="0"/>
        <charset val="134"/>
      </rPr>
      <t xml:space="preserve">|30V|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6.35mm型</t>
    </r>
  </si>
  <si>
    <t xml:space="preserve">铜</t>
  </si>
  <si>
    <t xml:space="preserve">COPPER</t>
  </si>
  <si>
    <t xml:space="preserve">9X1X1</t>
  </si>
  <si>
    <t xml:space="preserve">PROBING NEEDLE</t>
  </si>
  <si>
    <r>
      <rPr>
        <sz val="10"/>
        <rFont val="Arial"/>
        <family val="2"/>
        <charset val="1"/>
      </rPr>
      <t xml:space="preserve">Đầu dò (P75-Q1) - là đầu nối tiếp xúc tín hiệu với bảng mạch, bằng đồng</t>
    </r>
    <r>
      <rPr>
        <sz val="10"/>
        <color rgb="FFFF0000"/>
        <rFont val="Arial"/>
        <family val="2"/>
        <charset val="1"/>
      </rPr>
      <t xml:space="preserve">, dùng cho máy móc nào cụ thể</t>
    </r>
  </si>
  <si>
    <t xml:space="preserve">Dùng cho khung kiểm tra tính năng dòng điện bảng mạch</t>
  </si>
  <si>
    <t xml:space="preserve">P75-Q1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</si>
  <si>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|P75-Q1</t>
    </r>
    <r>
      <rPr>
        <sz val="10"/>
        <color rgb="FF000000"/>
        <rFont val="宋体"/>
        <family val="0"/>
        <charset val="134"/>
      </rPr>
      <t xml:space="preserve">型</t>
    </r>
  </si>
  <si>
    <t xml:space="preserve">5X3.5</t>
  </si>
  <si>
    <t xml:space="preserve">FCT REPAIR</t>
  </si>
  <si>
    <t xml:space="preserve">PRESSURE HEAD</t>
  </si>
  <si>
    <t xml:space="preserve">Đầu kẹp áp lực (M6x55), dùn đeer kẹp phụ trợ cho đồ gá kẹp nhanh, chất liệu bằng sắt,NSX: DONGGUAN QIMINGFENG HARDWARE STORE</t>
  </si>
  <si>
    <t xml:space="preserve">M6X55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</si>
  <si>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工装快速夹具（水平式 </t>
    </r>
    <r>
      <rPr>
        <sz val="10"/>
        <color rgb="FF000000"/>
        <rFont val="Arial"/>
        <family val="0"/>
        <charset val="134"/>
      </rPr>
      <t xml:space="preserve">/ </t>
    </r>
    <r>
      <rPr>
        <sz val="10"/>
        <color rgb="FF000000"/>
        <rFont val="宋体"/>
        <family val="0"/>
        <charset val="134"/>
      </rPr>
      <t xml:space="preserve">垂直式夹钳）的标准配套压紧配件用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塑胶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铁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冲压，有进一步加工</t>
    </r>
  </si>
  <si>
    <t xml:space="preserve">塑料+铁</t>
  </si>
  <si>
    <t xml:space="preserve">PLC+IRON</t>
  </si>
  <si>
    <t xml:space="preserve">0.6X5.5</t>
  </si>
  <si>
    <t xml:space="preserve">MINI SPEAKER</t>
  </si>
  <si>
    <r>
      <rPr>
        <sz val="10"/>
        <rFont val="Arial"/>
        <family val="2"/>
        <charset val="1"/>
      </rPr>
      <t xml:space="preserve">Loa mini ( (loa đơn) đã lắp vào vỏ loa), Model: 101DP, c/suất 3W, </t>
    </r>
    <r>
      <rPr>
        <sz val="10"/>
        <color rgb="FFFF0000"/>
        <rFont val="Arial"/>
        <family val="2"/>
        <charset val="1"/>
      </rPr>
      <t xml:space="preserve">dải tần bao nhiêu ? (ví dụ: 0,00013- 0,015MHz).</t>
    </r>
    <r>
      <rPr>
        <sz val="10"/>
        <rFont val="Arial"/>
        <family val="0"/>
        <charset val="134"/>
      </rPr>
      <t xml:space="preserve"> NSX: XINJIE TECHNOLOGY FACTORY, hàng mới 100%</t>
    </r>
  </si>
  <si>
    <t xml:space="preserve">100 Hz – 20 kHz</t>
  </si>
  <si>
    <t xml:space="preserve">101DP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</si>
  <si>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有箱体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|101DP</t>
    </r>
    <r>
      <rPr>
        <sz val="10"/>
        <color rgb="FF000000"/>
        <rFont val="宋体"/>
        <family val="0"/>
        <charset val="134"/>
      </rPr>
      <t xml:space="preserve">号</t>
    </r>
  </si>
  <si>
    <t xml:space="preserve">塑料+电子板</t>
  </si>
  <si>
    <t xml:space="preserve">PLC+ELECTRONIC BOARD</t>
  </si>
  <si>
    <t xml:space="preserve">DC5V</t>
  </si>
  <si>
    <t xml:space="preserve">3W</t>
  </si>
  <si>
    <t xml:space="preserve">15X8X8</t>
  </si>
  <si>
    <t xml:space="preserve">HIGH FREQUENCY SOLDERING IRON HEATING CORE</t>
  </si>
  <si>
    <r>
      <rPr>
        <sz val="10"/>
        <rFont val="Arial"/>
        <family val="2"/>
        <charset val="1"/>
      </rPr>
      <t xml:space="preserve">Lõi gia nhiệt mỏ hàn tần số cao (203H) - thay thế cho mỏ hàn điện - Đồng + Dây dẫn, </t>
    </r>
    <r>
      <rPr>
        <sz val="10"/>
        <color rgb="FFFF0000"/>
        <rFont val="Arial"/>
        <family val="2"/>
        <charset val="1"/>
      </rPr>
      <t xml:space="preserve">dùng cho máy nào</t>
    </r>
  </si>
  <si>
    <t xml:space="preserve">dùng thay thế cho tay hàn của trạm hàn QUICK 203H</t>
  </si>
  <si>
    <t xml:space="preserve">203H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</si>
  <si>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电烙铁用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非印刷电路组件制造用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|203H</t>
    </r>
    <r>
      <rPr>
        <sz val="10"/>
        <color rgb="FF000000"/>
        <rFont val="宋体"/>
        <family val="0"/>
        <charset val="134"/>
      </rPr>
      <t xml:space="preserve">型</t>
    </r>
  </si>
  <si>
    <t xml:space="preserve">铜+线材</t>
  </si>
  <si>
    <t xml:space="preserve">COPPER+WIRE</t>
  </si>
  <si>
    <t xml:space="preserve">11X1</t>
  </si>
  <si>
    <t xml:space="preserve">HEATING PLATE FOR HOT STAMPING MACHINE</t>
  </si>
  <si>
    <r>
      <rPr>
        <sz val="10"/>
        <rFont val="Arial"/>
        <family val="2"/>
        <charset val="1"/>
      </rPr>
      <t xml:space="preserve">Tấm gia nhiệt máy dập nóng (CUBW-ST2) - tạo nhiệt để dập nóng - Nhôm + Keo chịu nhiệt, </t>
    </r>
    <r>
      <rPr>
        <sz val="10"/>
        <color rgb="FFFF0000"/>
        <rFont val="Arial"/>
        <family val="2"/>
        <charset val="1"/>
      </rPr>
      <t xml:space="preserve">dùng cho máy nào</t>
    </r>
  </si>
  <si>
    <t xml:space="preserve">bằng nhôm và keo chịu nhiệt, dùng để tạo nhiệt cho máy dập nhiệt logo (Hot Stamping Machine).</t>
  </si>
  <si>
    <t xml:space="preserve">CUBW-ST2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</si>
  <si>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电子产品能用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CUBW-ST2型</t>
    </r>
  </si>
  <si>
    <t xml:space="preserve">铝+耐高温胶</t>
  </si>
  <si>
    <t xml:space="preserve">13X2.2X0.8</t>
  </si>
  <si>
    <r>
      <rPr>
        <sz val="10"/>
        <rFont val="Arial"/>
        <family val="2"/>
        <charset val="1"/>
      </rPr>
      <t xml:space="preserve">Tấm gia nhiệt máy dập nóng (VE-1) - tạo nhiệt để dập nóng - Nhôm + Keo chịu nhiệt</t>
    </r>
    <r>
      <rPr>
        <sz val="10"/>
        <color rgb="FFFF0000"/>
        <rFont val="Arial"/>
        <family val="2"/>
        <charset val="1"/>
      </rPr>
      <t xml:space="preserve">, dùng cho máy nào</t>
    </r>
  </si>
  <si>
    <t xml:space="preserve">VE-1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</si>
  <si>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电子产品能用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VE-1型</t>
    </r>
  </si>
  <si>
    <t xml:space="preserve">2.X2X0.8</t>
  </si>
  <si>
    <t xml:space="preserve">ELECTRIC SCREW DRIVER</t>
  </si>
  <si>
    <t xml:space="preserve">Tua vít điện (POL-SDGS-0115), dùng để vặn ốc vít, điện áp -24VDC, công suất 15W, NSX: SHUANGAI INDUSTRIAL CO., LTD</t>
  </si>
  <si>
    <t xml:space="preserve">POL-SDGS-0115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</si>
  <si>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电力驱动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手提式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双爱牌</t>
    </r>
    <r>
      <rPr>
        <sz val="10"/>
        <color rgb="FF000000"/>
        <rFont val="Arial"/>
        <family val="0"/>
        <charset val="134"/>
      </rPr>
      <t xml:space="preserve">|POL-SDGS-0115</t>
    </r>
    <r>
      <rPr>
        <sz val="10"/>
        <color rgb="FF000000"/>
        <rFont val="宋体"/>
        <family val="0"/>
        <charset val="134"/>
      </rPr>
      <t xml:space="preserve">型</t>
    </r>
  </si>
  <si>
    <t xml:space="preserve">铁+线材</t>
  </si>
  <si>
    <t xml:space="preserve">24VDC</t>
  </si>
  <si>
    <t xml:space="preserve">W5</t>
  </si>
  <si>
    <t xml:space="preserve">42X28X24</t>
  </si>
  <si>
    <t xml:space="preserve">28x8x5</t>
  </si>
  <si>
    <t xml:space="preserve">TOOLS</t>
  </si>
  <si>
    <t xml:space="preserve">ELECTRIC SCREWDRIVER</t>
  </si>
  <si>
    <t xml:space="preserve">Tua vít điện (POL-SD1) dùng để vặn ốc vít, điện áp -24VDC, công suất 20W, NSX: SHUANGAI INDUSTRIAL CO., LTD</t>
  </si>
  <si>
    <t xml:space="preserve">POL-SD1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</si>
  <si>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电力驱动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手提式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双爱牌</t>
    </r>
    <r>
      <rPr>
        <sz val="10"/>
        <color rgb="FF000000"/>
        <rFont val="Arial"/>
        <family val="0"/>
        <charset val="134"/>
      </rPr>
      <t xml:space="preserve">|POL-SD1</t>
    </r>
    <r>
      <rPr>
        <sz val="10"/>
        <color rgb="FF000000"/>
        <rFont val="宋体"/>
        <family val="0"/>
        <charset val="134"/>
      </rPr>
      <t xml:space="preserve">型</t>
    </r>
  </si>
  <si>
    <t xml:space="preserve">20W</t>
  </si>
  <si>
    <t xml:space="preserve">BEER MACHINE PARTS AND FIXTURES</t>
  </si>
  <si>
    <t xml:space="preserve">Phụ kiện và đồ gá máy ép nhựa - phụ tùng phục vụ máy ép nhựa - Sắt- cụ thể là gì, không để chun chung vậy dc</t>
  </si>
  <si>
    <t xml:space="preserve">Khối gá (Fixture block) bằng sắt dùng để định vị sản phẩm trong quá trình lắp ráp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</si>
  <si>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</si>
  <si>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W6</t>
  </si>
  <si>
    <t xml:space="preserve">52*35x27</t>
  </si>
  <si>
    <t xml:space="preserve">82.4x15.8</t>
  </si>
  <si>
    <t xml:space="preserve">GLUE NAIL MACHINE PARTS</t>
  </si>
  <si>
    <t xml:space="preserve">Linh kiện máy đóng đinh nhựa (11616-K) - cố định đinh nhựa vào sản phẩm và thẻ giấy - Nhôm, cụ thể là gì, không để chun chung vậy dc</t>
  </si>
  <si>
    <t xml:space="preserve">Đầu dẫn hướng bằng nhôm (P/N 11616-K) dùng cho máy đóng đinh nhựa để dẫn và cố định đinh nhựa khi gắn cố định sản phẩm lên thẻ giấy.</t>
  </si>
  <si>
    <t xml:space="preserve">11616-K</t>
  </si>
  <si>
    <t xml:space="preserve">84409000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</si>
  <si>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|11616-K</t>
    </r>
    <r>
      <rPr>
        <sz val="10"/>
        <color rgb="FF000000"/>
        <rFont val="宋体"/>
        <family val="0"/>
        <charset val="134"/>
      </rPr>
      <t xml:space="preserve">型</t>
    </r>
  </si>
  <si>
    <t xml:space="preserve">AL</t>
  </si>
  <si>
    <t xml:space="preserve">23*18*13</t>
  </si>
  <si>
    <t xml:space="preserve">6*4*3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</si>
</sst>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yyyy/m/d;@"/>
  </numFmts>
  <fonts count="22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0"/>
      <color theme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theme="1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Arial"/>
      <family val="2"/>
      <charset val="1"/>
    </font>
    <font>
      <sz val="10"/>
      <color theme="10"/>
      <name val="Arial"/>
      <family val="2"/>
      <charset val="1"/>
    </font>
    <font>
      <sz val="10"/>
      <color rgb="FF7A34AE"/>
      <name val="Arial"/>
      <family val="2"/>
      <charset val="1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  <font>
      <sz val="10"/>
      <name val="宋体"/>
      <family val="0"/>
      <charset val="134"/>
    </font>
    <font>
      <sz val="10"/>
      <name val="Arial"/>
      <family val="0"/>
      <charset val="1"/>
    </font>
    <font>
      <sz val="10"/>
      <color rgb="FFFF0000"/>
      <name val="Arial"/>
      <family val="2"/>
      <charset val="1"/>
    </font>
    <font>
      <sz val="10"/>
      <color rgb="FF0000E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EE"/>
          <bgColor rgb="FF000000"/>
        </patternFill>
      </fill>
    </dxf>
    <dxf>
      <fill>
        <patternFill patternType="solid">
          <fgColor rgb="FF7A34A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34A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pn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jpeg"/><Relationship Id="rId12" Type="http://schemas.openxmlformats.org/officeDocument/2006/relationships/image" Target="../media/image12.pn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png"/><Relationship Id="rId16" Type="http://schemas.openxmlformats.org/officeDocument/2006/relationships/image" Target="../media/image16.jpeg"/><Relationship Id="rId17" Type="http://schemas.openxmlformats.org/officeDocument/2006/relationships/image" Target="../media/image17.png"/><Relationship Id="rId18" Type="http://schemas.openxmlformats.org/officeDocument/2006/relationships/image" Target="../media/image18.jpeg"/><Relationship Id="rId19" Type="http://schemas.openxmlformats.org/officeDocument/2006/relationships/image" Target="../media/image19.png"/><Relationship Id="rId20" Type="http://schemas.openxmlformats.org/officeDocument/2006/relationships/image" Target="../media/image20.jpeg"/><Relationship Id="rId21" Type="http://schemas.openxmlformats.org/officeDocument/2006/relationships/image" Target="../media/image21.png"/><Relationship Id="rId22" Type="http://schemas.openxmlformats.org/officeDocument/2006/relationships/image" Target="../media/image22.jpeg"/><Relationship Id="rId23" Type="http://schemas.openxmlformats.org/officeDocument/2006/relationships/image" Target="../media/image23.png"/><Relationship Id="rId24" Type="http://schemas.openxmlformats.org/officeDocument/2006/relationships/image" Target="../media/image24.jpeg"/><Relationship Id="rId25" Type="http://schemas.openxmlformats.org/officeDocument/2006/relationships/image" Target="../media/image25.pn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png"/><Relationship Id="rId30" Type="http://schemas.openxmlformats.org/officeDocument/2006/relationships/image" Target="../media/image30.jpe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jpeg"/><Relationship Id="rId34" Type="http://schemas.openxmlformats.org/officeDocument/2006/relationships/image" Target="../media/image34.png"/><Relationship Id="rId35" Type="http://schemas.openxmlformats.org/officeDocument/2006/relationships/image" Target="../media/image34.png"/><Relationship Id="rId36" Type="http://schemas.openxmlformats.org/officeDocument/2006/relationships/image" Target="../media/image3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1</xdr:row>
      <xdr:rowOff>0</xdr:rowOff>
    </xdr:from>
    <xdr:to>
      <xdr:col>17</xdr:col>
      <xdr:colOff>1146240</xdr:colOff>
      <xdr:row>1</xdr:row>
      <xdr:rowOff>533520</xdr:rowOff>
    </xdr:to>
    <xdr:pic>
      <xdr:nvPicPr>
        <xdr:cNvPr id="0" name="图片 16" descr="mmexport1781243627637"/>
        <xdr:cNvPicPr/>
      </xdr:nvPicPr>
      <xdr:blipFill>
        <a:blip r:embed="rId1"/>
        <a:stretch/>
      </xdr:blipFill>
      <xdr:spPr>
        <a:xfrm>
          <a:off x="18495720" y="581040"/>
          <a:ext cx="11462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370800</xdr:colOff>
      <xdr:row>0</xdr:row>
      <xdr:rowOff>561600</xdr:rowOff>
    </xdr:from>
    <xdr:to>
      <xdr:col>16</xdr:col>
      <xdr:colOff>646560</xdr:colOff>
      <xdr:row>1</xdr:row>
      <xdr:rowOff>511560</xdr:rowOff>
    </xdr:to>
    <xdr:pic>
      <xdr:nvPicPr>
        <xdr:cNvPr id="1" name="图片 18" descr="20260612_135036"/>
        <xdr:cNvPicPr/>
      </xdr:nvPicPr>
      <xdr:blipFill>
        <a:blip r:embed="rId2"/>
        <a:stretch/>
      </xdr:blipFill>
      <xdr:spPr>
        <a:xfrm>
          <a:off x="17870760" y="561600"/>
          <a:ext cx="275760" cy="53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16</xdr:col>
      <xdr:colOff>405000</xdr:colOff>
      <xdr:row>3</xdr:row>
      <xdr:rowOff>1800</xdr:rowOff>
    </xdr:to>
    <xdr:pic>
      <xdr:nvPicPr>
        <xdr:cNvPr id="2" name="图片 19" descr="20260612_154845"/>
        <xdr:cNvPicPr/>
      </xdr:nvPicPr>
      <xdr:blipFill>
        <a:blip r:embed="rId3"/>
        <a:stretch/>
      </xdr:blipFill>
      <xdr:spPr>
        <a:xfrm>
          <a:off x="17499960" y="1114560"/>
          <a:ext cx="405000" cy="53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643680</xdr:colOff>
      <xdr:row>20</xdr:row>
      <xdr:rowOff>534600</xdr:rowOff>
    </xdr:to>
    <xdr:pic>
      <xdr:nvPicPr>
        <xdr:cNvPr id="3" name="图片 21" descr="IMG_20250919_093537"/>
        <xdr:cNvPicPr/>
      </xdr:nvPicPr>
      <xdr:blipFill>
        <a:blip r:embed="rId4">
          <a:lum bright="6000"/>
        </a:blip>
        <a:stretch/>
      </xdr:blipFill>
      <xdr:spPr>
        <a:xfrm>
          <a:off x="17499960" y="10928520"/>
          <a:ext cx="643680" cy="53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987480</xdr:colOff>
      <xdr:row>20</xdr:row>
      <xdr:rowOff>534960</xdr:rowOff>
    </xdr:to>
    <xdr:pic>
      <xdr:nvPicPr>
        <xdr:cNvPr id="4" name="图片 22" descr=""/>
        <xdr:cNvPicPr/>
      </xdr:nvPicPr>
      <xdr:blipFill>
        <a:blip r:embed="rId5"/>
        <a:stretch/>
      </xdr:blipFill>
      <xdr:spPr>
        <a:xfrm>
          <a:off x="18495720" y="10928520"/>
          <a:ext cx="987480" cy="5349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16</xdr:col>
      <xdr:colOff>0</xdr:colOff>
      <xdr:row>4</xdr:row>
      <xdr:rowOff>360</xdr:rowOff>
    </xdr:from>
    <xdr:to>
      <xdr:col>16</xdr:col>
      <xdr:colOff>892800</xdr:colOff>
      <xdr:row>5</xdr:row>
      <xdr:rowOff>360</xdr:rowOff>
    </xdr:to>
    <xdr:pic>
      <xdr:nvPicPr>
        <xdr:cNvPr id="5" name="图片 26" descr="IMG_20260612_101927.jpg"/>
        <xdr:cNvPicPr/>
      </xdr:nvPicPr>
      <xdr:blipFill>
        <a:blip r:embed="rId6"/>
        <a:stretch/>
      </xdr:blipFill>
      <xdr:spPr>
        <a:xfrm rot="16200000">
          <a:off x="17679600" y="2001960"/>
          <a:ext cx="533520" cy="89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360</xdr:colOff>
      <xdr:row>5</xdr:row>
      <xdr:rowOff>0</xdr:rowOff>
    </xdr:from>
    <xdr:to>
      <xdr:col>17</xdr:col>
      <xdr:colOff>360</xdr:colOff>
      <xdr:row>5</xdr:row>
      <xdr:rowOff>406080</xdr:rowOff>
    </xdr:to>
    <xdr:pic>
      <xdr:nvPicPr>
        <xdr:cNvPr id="6" name="图片 27" descr="IMG_20260612_103037.jpg"/>
        <xdr:cNvPicPr/>
      </xdr:nvPicPr>
      <xdr:blipFill>
        <a:blip r:embed="rId7"/>
        <a:stretch/>
      </xdr:blipFill>
      <xdr:spPr>
        <a:xfrm rot="5400000">
          <a:off x="17795160" y="2419920"/>
          <a:ext cx="406080" cy="995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962640</xdr:colOff>
      <xdr:row>6</xdr:row>
      <xdr:rowOff>1800</xdr:rowOff>
    </xdr:to>
    <xdr:pic>
      <xdr:nvPicPr>
        <xdr:cNvPr id="7" name="图片 28" descr=""/>
        <xdr:cNvPicPr/>
      </xdr:nvPicPr>
      <xdr:blipFill>
        <a:blip r:embed="rId8"/>
        <a:stretch/>
      </xdr:blipFill>
      <xdr:spPr>
        <a:xfrm>
          <a:off x="18495720" y="2714760"/>
          <a:ext cx="962640" cy="53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360</xdr:colOff>
      <xdr:row>6</xdr:row>
      <xdr:rowOff>0</xdr:rowOff>
    </xdr:from>
    <xdr:to>
      <xdr:col>16</xdr:col>
      <xdr:colOff>843480</xdr:colOff>
      <xdr:row>6</xdr:row>
      <xdr:rowOff>533520</xdr:rowOff>
    </xdr:to>
    <xdr:pic>
      <xdr:nvPicPr>
        <xdr:cNvPr id="8" name="图片 29" descr="IMG_20260604_143250.jpg"/>
        <xdr:cNvPicPr/>
      </xdr:nvPicPr>
      <xdr:blipFill>
        <a:blip r:embed="rId9"/>
        <a:stretch/>
      </xdr:blipFill>
      <xdr:spPr>
        <a:xfrm rot="5400000">
          <a:off x="17655120" y="3093120"/>
          <a:ext cx="533520" cy="84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924120</xdr:colOff>
      <xdr:row>6</xdr:row>
      <xdr:rowOff>533520</xdr:rowOff>
    </xdr:to>
    <xdr:pic>
      <xdr:nvPicPr>
        <xdr:cNvPr id="9" name="图片 30" descr=""/>
        <xdr:cNvPicPr/>
      </xdr:nvPicPr>
      <xdr:blipFill>
        <a:blip r:embed="rId10"/>
        <a:stretch/>
      </xdr:blipFill>
      <xdr:spPr>
        <a:xfrm>
          <a:off x="18495720" y="3247920"/>
          <a:ext cx="9241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110160</xdr:colOff>
      <xdr:row>7</xdr:row>
      <xdr:rowOff>30240</xdr:rowOff>
    </xdr:from>
    <xdr:to>
      <xdr:col>17</xdr:col>
      <xdr:colOff>33120</xdr:colOff>
      <xdr:row>8</xdr:row>
      <xdr:rowOff>30240</xdr:rowOff>
    </xdr:to>
    <xdr:pic>
      <xdr:nvPicPr>
        <xdr:cNvPr id="10" name="图片 31" descr="IMG_20251217_144923.jpg"/>
        <xdr:cNvPicPr/>
      </xdr:nvPicPr>
      <xdr:blipFill>
        <a:blip r:embed="rId11"/>
        <a:stretch/>
      </xdr:blipFill>
      <xdr:spPr>
        <a:xfrm>
          <a:off x="17610120" y="3811680"/>
          <a:ext cx="9187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989280</xdr:colOff>
      <xdr:row>7</xdr:row>
      <xdr:rowOff>533520</xdr:rowOff>
    </xdr:to>
    <xdr:pic>
      <xdr:nvPicPr>
        <xdr:cNvPr id="11" name="图片 32" descr=""/>
        <xdr:cNvPicPr/>
      </xdr:nvPicPr>
      <xdr:blipFill>
        <a:blip r:embed="rId12"/>
        <a:stretch/>
      </xdr:blipFill>
      <xdr:spPr>
        <a:xfrm>
          <a:off x="18495720" y="3781440"/>
          <a:ext cx="9892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684360</xdr:colOff>
      <xdr:row>9</xdr:row>
      <xdr:rowOff>1800</xdr:rowOff>
    </xdr:to>
    <xdr:pic>
      <xdr:nvPicPr>
        <xdr:cNvPr id="12" name="图片 33" descr="IMG_20260604_145833.jpg"/>
        <xdr:cNvPicPr/>
      </xdr:nvPicPr>
      <xdr:blipFill>
        <a:blip r:embed="rId13"/>
        <a:stretch/>
      </xdr:blipFill>
      <xdr:spPr>
        <a:xfrm>
          <a:off x="17499960" y="4314960"/>
          <a:ext cx="684360" cy="53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995760</xdr:colOff>
      <xdr:row>9</xdr:row>
      <xdr:rowOff>533520</xdr:rowOff>
    </xdr:to>
    <xdr:pic>
      <xdr:nvPicPr>
        <xdr:cNvPr id="13" name="图片 35" descr="IMG_20250609_084759.jpg"/>
        <xdr:cNvPicPr/>
      </xdr:nvPicPr>
      <xdr:blipFill>
        <a:blip r:embed="rId14"/>
        <a:stretch/>
      </xdr:blipFill>
      <xdr:spPr>
        <a:xfrm>
          <a:off x="17499960" y="4848120"/>
          <a:ext cx="995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976320</xdr:colOff>
      <xdr:row>9</xdr:row>
      <xdr:rowOff>533520</xdr:rowOff>
    </xdr:to>
    <xdr:pic>
      <xdr:nvPicPr>
        <xdr:cNvPr id="14" name="图片 36" descr=""/>
        <xdr:cNvPicPr/>
      </xdr:nvPicPr>
      <xdr:blipFill>
        <a:blip r:embed="rId15"/>
        <a:stretch/>
      </xdr:blipFill>
      <xdr:spPr>
        <a:xfrm>
          <a:off x="18495720" y="4848120"/>
          <a:ext cx="9763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995760</xdr:colOff>
      <xdr:row>10</xdr:row>
      <xdr:rowOff>372240</xdr:rowOff>
    </xdr:to>
    <xdr:pic>
      <xdr:nvPicPr>
        <xdr:cNvPr id="15" name="图片 37" descr="IMG_20250402_152520.jpg"/>
        <xdr:cNvPicPr/>
      </xdr:nvPicPr>
      <xdr:blipFill>
        <a:blip r:embed="rId16"/>
        <a:stretch/>
      </xdr:blipFill>
      <xdr:spPr>
        <a:xfrm>
          <a:off x="17499960" y="5594400"/>
          <a:ext cx="995760" cy="37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971280</xdr:colOff>
      <xdr:row>10</xdr:row>
      <xdr:rowOff>533520</xdr:rowOff>
    </xdr:to>
    <xdr:pic>
      <xdr:nvPicPr>
        <xdr:cNvPr id="16" name="图片 38" descr=""/>
        <xdr:cNvPicPr/>
      </xdr:nvPicPr>
      <xdr:blipFill>
        <a:blip r:embed="rId17"/>
        <a:stretch/>
      </xdr:blipFill>
      <xdr:spPr>
        <a:xfrm>
          <a:off x="18495720" y="5594400"/>
          <a:ext cx="9712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11</xdr:row>
      <xdr:rowOff>360</xdr:rowOff>
    </xdr:from>
    <xdr:to>
      <xdr:col>16</xdr:col>
      <xdr:colOff>903600</xdr:colOff>
      <xdr:row>12</xdr:row>
      <xdr:rowOff>2160</xdr:rowOff>
    </xdr:to>
    <xdr:pic>
      <xdr:nvPicPr>
        <xdr:cNvPr id="17" name="图片 39" descr="IMG_20260612_142005.jpg"/>
        <xdr:cNvPicPr/>
      </xdr:nvPicPr>
      <xdr:blipFill>
        <a:blip r:embed="rId18"/>
        <a:stretch/>
      </xdr:blipFill>
      <xdr:spPr>
        <a:xfrm rot="16200000">
          <a:off x="17684280" y="5943960"/>
          <a:ext cx="534960" cy="90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966600</xdr:colOff>
      <xdr:row>12</xdr:row>
      <xdr:rowOff>1800</xdr:rowOff>
    </xdr:to>
    <xdr:pic>
      <xdr:nvPicPr>
        <xdr:cNvPr id="18" name="图片 40" descr=""/>
        <xdr:cNvPicPr/>
      </xdr:nvPicPr>
      <xdr:blipFill>
        <a:blip r:embed="rId19"/>
        <a:stretch/>
      </xdr:blipFill>
      <xdr:spPr>
        <a:xfrm>
          <a:off x="18495720" y="6127920"/>
          <a:ext cx="966600" cy="53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857160</xdr:colOff>
      <xdr:row>12</xdr:row>
      <xdr:rowOff>533520</xdr:rowOff>
    </xdr:to>
    <xdr:pic>
      <xdr:nvPicPr>
        <xdr:cNvPr id="19" name="图片 41" descr="IMG_20260612_143049.jpg"/>
        <xdr:cNvPicPr/>
      </xdr:nvPicPr>
      <xdr:blipFill>
        <a:blip r:embed="rId20"/>
        <a:stretch/>
      </xdr:blipFill>
      <xdr:spPr>
        <a:xfrm>
          <a:off x="17499960" y="6661080"/>
          <a:ext cx="8571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960840</xdr:colOff>
      <xdr:row>12</xdr:row>
      <xdr:rowOff>533520</xdr:rowOff>
    </xdr:to>
    <xdr:pic>
      <xdr:nvPicPr>
        <xdr:cNvPr id="20" name="图片 42" descr=""/>
        <xdr:cNvPicPr/>
      </xdr:nvPicPr>
      <xdr:blipFill>
        <a:blip r:embed="rId21"/>
        <a:stretch/>
      </xdr:blipFill>
      <xdr:spPr>
        <a:xfrm>
          <a:off x="18495720" y="6661080"/>
          <a:ext cx="9608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13</xdr:row>
      <xdr:rowOff>360</xdr:rowOff>
    </xdr:from>
    <xdr:to>
      <xdr:col>16</xdr:col>
      <xdr:colOff>867960</xdr:colOff>
      <xdr:row>14</xdr:row>
      <xdr:rowOff>360</xdr:rowOff>
    </xdr:to>
    <xdr:pic>
      <xdr:nvPicPr>
        <xdr:cNvPr id="21" name="图片 43" descr="IMG_20260612_143527.jpg"/>
        <xdr:cNvPicPr/>
      </xdr:nvPicPr>
      <xdr:blipFill>
        <a:blip r:embed="rId22"/>
        <a:stretch/>
      </xdr:blipFill>
      <xdr:spPr>
        <a:xfrm rot="16200000">
          <a:off x="17667000" y="7027560"/>
          <a:ext cx="533520" cy="867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968760</xdr:colOff>
      <xdr:row>13</xdr:row>
      <xdr:rowOff>533520</xdr:rowOff>
    </xdr:to>
    <xdr:pic>
      <xdr:nvPicPr>
        <xdr:cNvPr id="22" name="图片 44" descr=""/>
        <xdr:cNvPicPr/>
      </xdr:nvPicPr>
      <xdr:blipFill>
        <a:blip r:embed="rId23"/>
        <a:stretch/>
      </xdr:blipFill>
      <xdr:spPr>
        <a:xfrm>
          <a:off x="18495720" y="7194600"/>
          <a:ext cx="968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14</xdr:row>
      <xdr:rowOff>360</xdr:rowOff>
    </xdr:from>
    <xdr:to>
      <xdr:col>16</xdr:col>
      <xdr:colOff>995760</xdr:colOff>
      <xdr:row>15</xdr:row>
      <xdr:rowOff>1800</xdr:rowOff>
    </xdr:to>
    <xdr:pic>
      <xdr:nvPicPr>
        <xdr:cNvPr id="23" name="图片 45" descr="IMG_20250606_160713.jpg"/>
        <xdr:cNvPicPr/>
      </xdr:nvPicPr>
      <xdr:blipFill>
        <a:blip r:embed="rId24"/>
        <a:stretch/>
      </xdr:blipFill>
      <xdr:spPr>
        <a:xfrm rot="16200000">
          <a:off x="17730360" y="7497720"/>
          <a:ext cx="534600" cy="995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948600</xdr:colOff>
      <xdr:row>15</xdr:row>
      <xdr:rowOff>1800</xdr:rowOff>
    </xdr:to>
    <xdr:pic>
      <xdr:nvPicPr>
        <xdr:cNvPr id="24" name="图片 46" descr=""/>
        <xdr:cNvPicPr/>
      </xdr:nvPicPr>
      <xdr:blipFill>
        <a:blip r:embed="rId25"/>
        <a:stretch/>
      </xdr:blipFill>
      <xdr:spPr>
        <a:xfrm>
          <a:off x="18495720" y="7728120"/>
          <a:ext cx="948600" cy="53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15</xdr:row>
      <xdr:rowOff>360</xdr:rowOff>
    </xdr:from>
    <xdr:to>
      <xdr:col>16</xdr:col>
      <xdr:colOff>995760</xdr:colOff>
      <xdr:row>15</xdr:row>
      <xdr:rowOff>489960</xdr:rowOff>
    </xdr:to>
    <xdr:pic>
      <xdr:nvPicPr>
        <xdr:cNvPr id="25" name="图片 47" descr="IMG_20260615_104226.jpg"/>
        <xdr:cNvPicPr/>
      </xdr:nvPicPr>
      <xdr:blipFill>
        <a:blip r:embed="rId26"/>
        <a:stretch/>
      </xdr:blipFill>
      <xdr:spPr>
        <a:xfrm rot="16200000">
          <a:off x="17753040" y="8008560"/>
          <a:ext cx="489600" cy="995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696600</xdr:colOff>
      <xdr:row>16</xdr:row>
      <xdr:rowOff>533520</xdr:rowOff>
    </xdr:to>
    <xdr:pic>
      <xdr:nvPicPr>
        <xdr:cNvPr id="26" name="图片 49" descr="IMG_20260615_104159.jpg"/>
        <xdr:cNvPicPr/>
      </xdr:nvPicPr>
      <xdr:blipFill>
        <a:blip r:embed="rId27"/>
        <a:stretch/>
      </xdr:blipFill>
      <xdr:spPr>
        <a:xfrm>
          <a:off x="17499960" y="8794800"/>
          <a:ext cx="696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861840</xdr:colOff>
      <xdr:row>18</xdr:row>
      <xdr:rowOff>1800</xdr:rowOff>
    </xdr:to>
    <xdr:pic>
      <xdr:nvPicPr>
        <xdr:cNvPr id="27" name="图片 51" descr="IMG_20250609_121033.jpg"/>
        <xdr:cNvPicPr/>
      </xdr:nvPicPr>
      <xdr:blipFill>
        <a:blip r:embed="rId28"/>
        <a:stretch/>
      </xdr:blipFill>
      <xdr:spPr>
        <a:xfrm>
          <a:off x="17499960" y="9328320"/>
          <a:ext cx="861840" cy="53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968400</xdr:colOff>
      <xdr:row>18</xdr:row>
      <xdr:rowOff>1800</xdr:rowOff>
    </xdr:to>
    <xdr:pic>
      <xdr:nvPicPr>
        <xdr:cNvPr id="28" name="图片 52" descr=""/>
        <xdr:cNvPicPr/>
      </xdr:nvPicPr>
      <xdr:blipFill>
        <a:blip r:embed="rId29"/>
        <a:stretch/>
      </xdr:blipFill>
      <xdr:spPr>
        <a:xfrm>
          <a:off x="18495720" y="9328320"/>
          <a:ext cx="968400" cy="53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18</xdr:row>
      <xdr:rowOff>360</xdr:rowOff>
    </xdr:from>
    <xdr:to>
      <xdr:col>16</xdr:col>
      <xdr:colOff>951120</xdr:colOff>
      <xdr:row>19</xdr:row>
      <xdr:rowOff>360</xdr:rowOff>
    </xdr:to>
    <xdr:pic>
      <xdr:nvPicPr>
        <xdr:cNvPr id="29" name="图片 53" descr="IMG_20250609_121107.jpg"/>
        <xdr:cNvPicPr/>
      </xdr:nvPicPr>
      <xdr:blipFill>
        <a:blip r:embed="rId30"/>
        <a:stretch/>
      </xdr:blipFill>
      <xdr:spPr>
        <a:xfrm rot="16200000">
          <a:off x="17708760" y="9653040"/>
          <a:ext cx="533520" cy="95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964080</xdr:colOff>
      <xdr:row>18</xdr:row>
      <xdr:rowOff>533520</xdr:rowOff>
    </xdr:to>
    <xdr:pic>
      <xdr:nvPicPr>
        <xdr:cNvPr id="30" name="图片 54" descr=""/>
        <xdr:cNvPicPr/>
      </xdr:nvPicPr>
      <xdr:blipFill>
        <a:blip r:embed="rId31"/>
        <a:stretch/>
      </xdr:blipFill>
      <xdr:spPr>
        <a:xfrm>
          <a:off x="18495720" y="9861480"/>
          <a:ext cx="9640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942480</xdr:colOff>
      <xdr:row>19</xdr:row>
      <xdr:rowOff>533520</xdr:rowOff>
    </xdr:to>
    <xdr:pic>
      <xdr:nvPicPr>
        <xdr:cNvPr id="31" name="图片 55" descr=""/>
        <xdr:cNvPicPr/>
      </xdr:nvPicPr>
      <xdr:blipFill>
        <a:blip r:embed="rId32"/>
        <a:stretch/>
      </xdr:blipFill>
      <xdr:spPr>
        <a:xfrm>
          <a:off x="18495720" y="10395000"/>
          <a:ext cx="9424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995760</xdr:colOff>
      <xdr:row>19</xdr:row>
      <xdr:rowOff>444600</xdr:rowOff>
    </xdr:to>
    <xdr:pic>
      <xdr:nvPicPr>
        <xdr:cNvPr id="32" name="图片 56" descr="20260518_091700"/>
        <xdr:cNvPicPr/>
      </xdr:nvPicPr>
      <xdr:blipFill>
        <a:blip r:embed="rId33"/>
        <a:stretch/>
      </xdr:blipFill>
      <xdr:spPr>
        <a:xfrm>
          <a:off x="17499960" y="10395000"/>
          <a:ext cx="995760" cy="44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957600</xdr:colOff>
      <xdr:row>16</xdr:row>
      <xdr:rowOff>533520</xdr:rowOff>
    </xdr:to>
    <xdr:pic>
      <xdr:nvPicPr>
        <xdr:cNvPr id="33" name="图片 3" descr=""/>
        <xdr:cNvPicPr/>
      </xdr:nvPicPr>
      <xdr:blipFill>
        <a:blip r:embed="rId34"/>
        <a:srcRect l="51939" t="0" r="0" b="-1597"/>
        <a:stretch/>
      </xdr:blipFill>
      <xdr:spPr>
        <a:xfrm>
          <a:off x="18495720" y="8794800"/>
          <a:ext cx="957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960840</xdr:colOff>
      <xdr:row>15</xdr:row>
      <xdr:rowOff>533520</xdr:rowOff>
    </xdr:to>
    <xdr:pic>
      <xdr:nvPicPr>
        <xdr:cNvPr id="34" name="图片 4" descr=""/>
        <xdr:cNvPicPr/>
      </xdr:nvPicPr>
      <xdr:blipFill>
        <a:blip r:embed="rId35"/>
        <a:srcRect l="0" t="0" r="52563" b="0"/>
        <a:stretch/>
      </xdr:blipFill>
      <xdr:spPr>
        <a:xfrm>
          <a:off x="18495720" y="8261280"/>
          <a:ext cx="9608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985680</xdr:colOff>
      <xdr:row>9</xdr:row>
      <xdr:rowOff>1800</xdr:rowOff>
    </xdr:to>
    <xdr:pic>
      <xdr:nvPicPr>
        <xdr:cNvPr id="35" name="图片 5" descr=""/>
        <xdr:cNvPicPr/>
      </xdr:nvPicPr>
      <xdr:blipFill>
        <a:blip r:embed="rId36"/>
        <a:stretch/>
      </xdr:blipFill>
      <xdr:spPr>
        <a:xfrm>
          <a:off x="18495720" y="4314960"/>
          <a:ext cx="985680" cy="534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2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2" ySplit="0" topLeftCell="C1" activePane="topRight" state="frozen"/>
      <selection pane="topLeft" activeCell="A1" activeCellId="0" sqref="A1"/>
      <selection pane="topRight" activeCell="C10" activeCellId="0" sqref="C10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26.87"/>
    <col collapsed="false" customWidth="true" hidden="false" outlineLevel="0" max="2" min="2" style="1" width="74.87"/>
    <col collapsed="false" customWidth="true" hidden="false" outlineLevel="0" max="3" min="3" style="2" width="38.45"/>
    <col collapsed="false" customWidth="true" hidden="false" outlineLevel="0" max="4" min="4" style="3" width="38.45"/>
    <col collapsed="false" customWidth="true" hidden="true" outlineLevel="0" max="5" min="5" style="3" width="14.63"/>
    <col collapsed="false" customWidth="true" hidden="true" outlineLevel="0" max="6" min="6" style="4" width="20.13"/>
    <col collapsed="false" customWidth="true" hidden="true" outlineLevel="0" max="7" min="7" style="4" width="13.5"/>
    <col collapsed="false" customWidth="true" hidden="true" outlineLevel="0" max="8" min="8" style="4" width="12.63"/>
    <col collapsed="false" customWidth="true" hidden="true" outlineLevel="0" max="9" min="9" style="4" width="49.26"/>
    <col collapsed="false" customWidth="true" hidden="true" outlineLevel="0" max="10" min="10" style="4" width="17.13"/>
    <col collapsed="false" customWidth="true" hidden="true" outlineLevel="0" max="11" min="11" style="4" width="22.87"/>
    <col collapsed="false" customWidth="true" hidden="false" outlineLevel="0" max="13" min="12" style="3" width="14.13"/>
    <col collapsed="false" customWidth="true" hidden="false" outlineLevel="0" max="14" min="14" style="3" width="12"/>
    <col collapsed="false" customWidth="true" hidden="false" outlineLevel="0" max="15" min="15" style="3" width="15.87"/>
    <col collapsed="false" customWidth="true" hidden="false" outlineLevel="0" max="16" min="16" style="3" width="15.76"/>
    <col collapsed="false" customWidth="true" hidden="false" outlineLevel="0" max="17" min="17" style="3" width="14.26"/>
    <col collapsed="false" customWidth="true" hidden="false" outlineLevel="0" max="18" min="18" style="3" width="28.75"/>
    <col collapsed="false" customWidth="true" hidden="false" outlineLevel="0" max="19" min="19" style="3" width="14.26"/>
    <col collapsed="false" customWidth="true" hidden="false" outlineLevel="0" max="21" min="20" style="5" width="16.37"/>
    <col collapsed="false" customWidth="true" hidden="false" outlineLevel="0" max="22" min="22" style="6" width="15"/>
    <col collapsed="false" customWidth="true" hidden="false" outlineLevel="0" max="23" min="23" style="1" width="17"/>
    <col collapsed="false" customWidth="true" hidden="false" outlineLevel="0" max="24" min="24" style="1" width="10.63"/>
    <col collapsed="false" customWidth="true" hidden="false" outlineLevel="0" max="25" min="25" style="7" width="11.63"/>
    <col collapsed="false" customWidth="true" hidden="false" outlineLevel="0" max="26" min="26" style="6" width="11.63"/>
    <col collapsed="false" customWidth="true" hidden="false" outlineLevel="0" max="27" min="27" style="1" width="19.63"/>
    <col collapsed="false" customWidth="true" hidden="false" outlineLevel="0" max="28" min="28" style="3" width="18.13"/>
    <col collapsed="false" customWidth="true" hidden="false" outlineLevel="0" max="29" min="29" style="3" width="22.87"/>
    <col collapsed="false" customWidth="true" hidden="false" outlineLevel="0" max="30" min="30" style="3" width="17"/>
    <col collapsed="false" customWidth="true" hidden="false" outlineLevel="0" max="31" min="31" style="3" width="11.5"/>
    <col collapsed="false" customWidth="true" hidden="false" outlineLevel="0" max="32" min="32" style="3" width="14.87"/>
    <col collapsed="false" customWidth="false" hidden="false" outlineLevel="0" max="16384" min="33" style="3" width="9"/>
  </cols>
  <sheetData>
    <row r="1" s="14" customFormat="true" ht="45.75" hidden="false" customHeight="true" outlineLevel="0" collapsed="false">
      <c r="A1" s="8" t="s">
        <v>0</v>
      </c>
      <c r="B1" s="8"/>
      <c r="C1" s="9"/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1" t="s">
        <v>6</v>
      </c>
      <c r="J1" s="11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0" t="s">
        <v>18</v>
      </c>
      <c r="V1" s="12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13" t="s">
        <v>28</v>
      </c>
    </row>
    <row r="2" customFormat="false" ht="42" hidden="false" customHeight="true" outlineLevel="0" collapsed="false">
      <c r="A2" s="15" t="s">
        <v>29</v>
      </c>
      <c r="B2" s="16" t="s">
        <v>30</v>
      </c>
      <c r="C2" s="17"/>
      <c r="D2" s="15" t="s">
        <v>31</v>
      </c>
      <c r="E2" s="15" t="s">
        <v>32</v>
      </c>
      <c r="F2" s="15" t="s">
        <v>33</v>
      </c>
      <c r="G2" s="15" t="n">
        <v>8479300000</v>
      </c>
      <c r="H2" s="18" t="s">
        <v>34</v>
      </c>
      <c r="I2" s="19" t="s">
        <v>35</v>
      </c>
      <c r="J2" s="20"/>
      <c r="K2" s="21" t="s">
        <v>36</v>
      </c>
      <c r="L2" s="21" t="s">
        <v>37</v>
      </c>
      <c r="M2" s="21" t="s">
        <v>38</v>
      </c>
      <c r="N2" s="22" t="n">
        <v>46184</v>
      </c>
      <c r="O2" s="21" t="s">
        <v>39</v>
      </c>
      <c r="P2" s="21" t="s">
        <v>40</v>
      </c>
      <c r="Q2" s="23"/>
      <c r="R2" s="21"/>
      <c r="S2" s="21" t="n">
        <v>1</v>
      </c>
      <c r="T2" s="24" t="n">
        <v>11500</v>
      </c>
      <c r="U2" s="25" t="n">
        <f aca="false">ROUND(T2/1.13*1.08/6.8167,4)</f>
        <v>1612.3858</v>
      </c>
      <c r="V2" s="26" t="n">
        <f aca="false">ROUND(U2*S2,2)</f>
        <v>1612.39</v>
      </c>
      <c r="W2" s="27" t="s">
        <v>41</v>
      </c>
      <c r="X2" s="27" t="n">
        <v>1</v>
      </c>
      <c r="Y2" s="28" t="n">
        <v>155</v>
      </c>
      <c r="Z2" s="26" t="n">
        <v>140</v>
      </c>
      <c r="AA2" s="27" t="s">
        <v>42</v>
      </c>
      <c r="AB2" s="21" t="s">
        <v>43</v>
      </c>
      <c r="AC2" s="15" t="s">
        <v>44</v>
      </c>
      <c r="AD2" s="29" t="s">
        <v>45</v>
      </c>
      <c r="AE2" s="30" t="n">
        <f aca="false">ROUND(T2/1.13*1.08,4)</f>
        <v>10991.1504</v>
      </c>
    </row>
    <row r="3" customFormat="false" ht="42" hidden="false" customHeight="true" outlineLevel="0" collapsed="false">
      <c r="A3" s="15" t="s">
        <v>46</v>
      </c>
      <c r="B3" s="15" t="s">
        <v>47</v>
      </c>
      <c r="C3" s="31"/>
      <c r="D3" s="15" t="s">
        <v>48</v>
      </c>
      <c r="E3" s="15" t="s">
        <v>32</v>
      </c>
      <c r="F3" s="15" t="s">
        <v>32</v>
      </c>
      <c r="G3" s="15" t="n">
        <v>8456110090</v>
      </c>
      <c r="H3" s="32" t="n">
        <v>84561190</v>
      </c>
      <c r="I3" s="19" t="s">
        <v>49</v>
      </c>
      <c r="J3" s="20"/>
      <c r="K3" s="21" t="s">
        <v>36</v>
      </c>
      <c r="L3" s="21" t="s">
        <v>37</v>
      </c>
      <c r="M3" s="21" t="s">
        <v>32</v>
      </c>
      <c r="N3" s="22" t="n">
        <v>46133</v>
      </c>
      <c r="O3" s="21" t="s">
        <v>39</v>
      </c>
      <c r="P3" s="21" t="s">
        <v>40</v>
      </c>
      <c r="Q3" s="23"/>
      <c r="R3" s="21"/>
      <c r="S3" s="21" t="n">
        <v>1</v>
      </c>
      <c r="T3" s="24" t="n">
        <v>24000</v>
      </c>
      <c r="U3" s="25" t="n">
        <f aca="false">ROUND(T3/1.13*1.08/6.8167,4)</f>
        <v>3364.9791</v>
      </c>
      <c r="V3" s="26" t="n">
        <f aca="false">ROUND(U3*S3,2)</f>
        <v>3364.98</v>
      </c>
      <c r="W3" s="27" t="s">
        <v>50</v>
      </c>
      <c r="X3" s="27" t="n">
        <v>1</v>
      </c>
      <c r="Y3" s="28" t="n">
        <v>85</v>
      </c>
      <c r="Z3" s="15" t="n">
        <v>70</v>
      </c>
      <c r="AA3" s="27" t="s">
        <v>51</v>
      </c>
      <c r="AB3" s="15" t="s">
        <v>52</v>
      </c>
      <c r="AC3" s="15" t="s">
        <v>44</v>
      </c>
      <c r="AD3" s="29" t="s">
        <v>45</v>
      </c>
      <c r="AE3" s="30" t="n">
        <f aca="false">ROUND(T3/1.13*1.08,4)</f>
        <v>22938.0531</v>
      </c>
    </row>
    <row r="4" customFormat="false" ht="42" hidden="false" customHeight="true" outlineLevel="0" collapsed="false">
      <c r="A4" s="15" t="s">
        <v>53</v>
      </c>
      <c r="B4" s="15" t="s">
        <v>54</v>
      </c>
      <c r="C4" s="31"/>
      <c r="D4" s="15" t="s">
        <v>55</v>
      </c>
      <c r="E4" s="15" t="s">
        <v>32</v>
      </c>
      <c r="F4" s="15" t="s">
        <v>32</v>
      </c>
      <c r="G4" s="15" t="n">
        <v>8421392990</v>
      </c>
      <c r="H4" s="32" t="n">
        <v>84213990</v>
      </c>
      <c r="I4" s="19" t="s">
        <v>56</v>
      </c>
      <c r="J4" s="20" t="s">
        <v>57</v>
      </c>
      <c r="K4" s="21" t="s">
        <v>58</v>
      </c>
      <c r="L4" s="21" t="s">
        <v>59</v>
      </c>
      <c r="M4" s="21" t="s">
        <v>60</v>
      </c>
      <c r="N4" s="22" t="n">
        <v>46133</v>
      </c>
      <c r="O4" s="21" t="s">
        <v>39</v>
      </c>
      <c r="P4" s="21" t="s">
        <v>40</v>
      </c>
      <c r="Q4" s="23"/>
      <c r="R4" s="21"/>
      <c r="S4" s="21" t="n">
        <v>5</v>
      </c>
      <c r="T4" s="24" t="n">
        <v>280</v>
      </c>
      <c r="U4" s="25" t="n">
        <f aca="false">ROUND(T4/1.13*1.08/6.8167,4)</f>
        <v>39.2581</v>
      </c>
      <c r="V4" s="26" t="n">
        <f aca="false">ROUND(U4*S4,2)</f>
        <v>196.29</v>
      </c>
      <c r="W4" s="27" t="s">
        <v>61</v>
      </c>
      <c r="X4" s="27" t="n">
        <v>1</v>
      </c>
      <c r="Y4" s="28" t="n">
        <v>21</v>
      </c>
      <c r="Z4" s="15" t="n">
        <v>11</v>
      </c>
      <c r="AA4" s="27" t="s">
        <v>62</v>
      </c>
      <c r="AB4" s="15" t="s">
        <v>63</v>
      </c>
      <c r="AC4" s="15" t="s">
        <v>64</v>
      </c>
      <c r="AD4" s="29" t="s">
        <v>45</v>
      </c>
      <c r="AE4" s="30" t="n">
        <f aca="false">ROUND(T4/1.13*1.08,4)</f>
        <v>267.6106</v>
      </c>
    </row>
    <row r="5" customFormat="false" ht="42" hidden="false" customHeight="true" outlineLevel="0" collapsed="false">
      <c r="A5" s="15" t="s">
        <v>65</v>
      </c>
      <c r="B5" s="15" t="s">
        <v>66</v>
      </c>
      <c r="C5" s="31"/>
      <c r="D5" s="15" t="s">
        <v>67</v>
      </c>
      <c r="E5" s="15" t="s">
        <v>32</v>
      </c>
      <c r="F5" s="15" t="s">
        <v>32</v>
      </c>
      <c r="G5" s="15" t="n">
        <v>8544421100</v>
      </c>
      <c r="H5" s="32" t="n">
        <v>85444296</v>
      </c>
      <c r="I5" s="19" t="s">
        <v>68</v>
      </c>
      <c r="J5" s="20" t="s">
        <v>69</v>
      </c>
      <c r="K5" s="21" t="s">
        <v>70</v>
      </c>
      <c r="L5" s="21" t="s">
        <v>32</v>
      </c>
      <c r="M5" s="21" t="s">
        <v>32</v>
      </c>
      <c r="N5" s="22" t="n">
        <v>46147</v>
      </c>
      <c r="O5" s="21" t="s">
        <v>39</v>
      </c>
      <c r="P5" s="21" t="s">
        <v>40</v>
      </c>
      <c r="Q5" s="23"/>
      <c r="R5" s="21"/>
      <c r="S5" s="21" t="n">
        <v>20</v>
      </c>
      <c r="T5" s="24" t="n">
        <v>15</v>
      </c>
      <c r="U5" s="25" t="n">
        <f aca="false">ROUND(T5/1.13*1.08/6.8167,4)</f>
        <v>2.1031</v>
      </c>
      <c r="V5" s="26" t="n">
        <f aca="false">ROUND(U5*S5,2)</f>
        <v>42.06</v>
      </c>
      <c r="W5" s="27"/>
      <c r="X5" s="27"/>
      <c r="Y5" s="28"/>
      <c r="Z5" s="15" t="n">
        <v>1.27</v>
      </c>
      <c r="AA5" s="27"/>
      <c r="AB5" s="15" t="s">
        <v>71</v>
      </c>
      <c r="AC5" s="15" t="s">
        <v>72</v>
      </c>
      <c r="AD5" s="29" t="s">
        <v>45</v>
      </c>
      <c r="AE5" s="30" t="n">
        <f aca="false">ROUND(T5/1.13*1.08,4)</f>
        <v>14.3363</v>
      </c>
    </row>
    <row r="6" customFormat="false" ht="42" hidden="false" customHeight="true" outlineLevel="0" collapsed="false">
      <c r="A6" s="15" t="s">
        <v>73</v>
      </c>
      <c r="B6" s="15" t="s">
        <v>74</v>
      </c>
      <c r="C6" s="31"/>
      <c r="D6" s="15" t="s">
        <v>75</v>
      </c>
      <c r="E6" s="15" t="s">
        <v>32</v>
      </c>
      <c r="F6" s="15" t="s">
        <v>32</v>
      </c>
      <c r="G6" s="15" t="n">
        <v>8477900000</v>
      </c>
      <c r="H6" s="32" t="n">
        <v>84799090</v>
      </c>
      <c r="I6" s="19" t="s">
        <v>76</v>
      </c>
      <c r="J6" s="20" t="s">
        <v>77</v>
      </c>
      <c r="K6" s="21" t="s">
        <v>36</v>
      </c>
      <c r="L6" s="21" t="s">
        <v>32</v>
      </c>
      <c r="M6" s="21" t="s">
        <v>32</v>
      </c>
      <c r="N6" s="22" t="n">
        <v>46150</v>
      </c>
      <c r="O6" s="21" t="s">
        <v>39</v>
      </c>
      <c r="P6" s="21" t="s">
        <v>40</v>
      </c>
      <c r="Q6" s="23"/>
      <c r="R6" s="21"/>
      <c r="S6" s="21" t="n">
        <v>3</v>
      </c>
      <c r="T6" s="24" t="n">
        <v>90</v>
      </c>
      <c r="U6" s="25" t="n">
        <f aca="false">ROUND(T6/1.13*1.08/6.8167,4)</f>
        <v>12.6187</v>
      </c>
      <c r="V6" s="26" t="n">
        <f aca="false">ROUND(U6*S6,2)</f>
        <v>37.86</v>
      </c>
      <c r="W6" s="27"/>
      <c r="X6" s="27"/>
      <c r="Y6" s="28"/>
      <c r="Z6" s="15" t="n">
        <v>0.06</v>
      </c>
      <c r="AA6" s="27"/>
      <c r="AB6" s="15" t="s">
        <v>78</v>
      </c>
      <c r="AC6" s="15" t="s">
        <v>64</v>
      </c>
      <c r="AD6" s="29" t="s">
        <v>45</v>
      </c>
      <c r="AE6" s="30" t="n">
        <f aca="false">ROUND(T6/1.13*1.08,4)</f>
        <v>86.0177</v>
      </c>
    </row>
    <row r="7" customFormat="false" ht="42" hidden="false" customHeight="true" outlineLevel="0" collapsed="false">
      <c r="A7" s="15" t="s">
        <v>79</v>
      </c>
      <c r="B7" s="15" t="s">
        <v>80</v>
      </c>
      <c r="C7" s="31"/>
      <c r="D7" s="15" t="s">
        <v>81</v>
      </c>
      <c r="E7" s="15" t="s">
        <v>32</v>
      </c>
      <c r="F7" s="15" t="s">
        <v>32</v>
      </c>
      <c r="G7" s="15" t="n">
        <v>8533219000</v>
      </c>
      <c r="H7" s="32" t="n">
        <v>85334000</v>
      </c>
      <c r="I7" s="19" t="s">
        <v>82</v>
      </c>
      <c r="J7" s="20" t="s">
        <v>83</v>
      </c>
      <c r="K7" s="21" t="s">
        <v>84</v>
      </c>
      <c r="L7" s="21" t="s">
        <v>32</v>
      </c>
      <c r="M7" s="21" t="s">
        <v>32</v>
      </c>
      <c r="N7" s="22" t="n">
        <v>46150</v>
      </c>
      <c r="O7" s="21" t="s">
        <v>39</v>
      </c>
      <c r="P7" s="21" t="s">
        <v>40</v>
      </c>
      <c r="Q7" s="23"/>
      <c r="R7" s="21"/>
      <c r="S7" s="21" t="n">
        <v>3</v>
      </c>
      <c r="T7" s="24" t="n">
        <v>21</v>
      </c>
      <c r="U7" s="25" t="n">
        <f aca="false">ROUND(T7/1.13*1.08/6.8167,4)</f>
        <v>2.9444</v>
      </c>
      <c r="V7" s="26" t="n">
        <f aca="false">ROUND(U7*S7,2)</f>
        <v>8.83</v>
      </c>
      <c r="W7" s="27"/>
      <c r="X7" s="27"/>
      <c r="Y7" s="28"/>
      <c r="Z7" s="15" t="n">
        <v>0.66</v>
      </c>
      <c r="AA7" s="27"/>
      <c r="AB7" s="15" t="s">
        <v>85</v>
      </c>
      <c r="AC7" s="15" t="s">
        <v>72</v>
      </c>
      <c r="AD7" s="29" t="s">
        <v>45</v>
      </c>
      <c r="AE7" s="30" t="n">
        <f aca="false">ROUND(T7/1.13*1.08,4)</f>
        <v>20.0708</v>
      </c>
    </row>
    <row r="8" customFormat="false" ht="42" hidden="false" customHeight="true" outlineLevel="0" collapsed="false">
      <c r="A8" s="15" t="s">
        <v>86</v>
      </c>
      <c r="B8" s="15" t="s">
        <v>87</v>
      </c>
      <c r="C8" s="31"/>
      <c r="D8" s="15" t="s">
        <v>88</v>
      </c>
      <c r="E8" s="15" t="s">
        <v>32</v>
      </c>
      <c r="F8" s="15" t="s">
        <v>32</v>
      </c>
      <c r="G8" s="15" t="n">
        <v>3926909090</v>
      </c>
      <c r="H8" s="33" t="s">
        <v>89</v>
      </c>
      <c r="I8" s="19" t="s">
        <v>90</v>
      </c>
      <c r="J8" s="20" t="s">
        <v>91</v>
      </c>
      <c r="K8" s="21" t="s">
        <v>92</v>
      </c>
      <c r="L8" s="21" t="s">
        <v>32</v>
      </c>
      <c r="M8" s="21" t="s">
        <v>32</v>
      </c>
      <c r="N8" s="22" t="n">
        <v>46150</v>
      </c>
      <c r="O8" s="21" t="s">
        <v>39</v>
      </c>
      <c r="P8" s="21" t="s">
        <v>40</v>
      </c>
      <c r="Q8" s="23"/>
      <c r="R8" s="21"/>
      <c r="S8" s="21" t="n">
        <v>2</v>
      </c>
      <c r="T8" s="24" t="n">
        <v>32</v>
      </c>
      <c r="U8" s="25" t="n">
        <f aca="false">ROUND(T8/1.13*1.08/6.8167,4)</f>
        <v>4.4866</v>
      </c>
      <c r="V8" s="26" t="n">
        <f aca="false">ROUND(U8*S8,2)</f>
        <v>8.97</v>
      </c>
      <c r="W8" s="27"/>
      <c r="X8" s="27"/>
      <c r="Y8" s="28"/>
      <c r="Z8" s="15" t="n">
        <v>0.27</v>
      </c>
      <c r="AA8" s="27"/>
      <c r="AB8" s="15" t="s">
        <v>93</v>
      </c>
      <c r="AC8" s="15" t="s">
        <v>72</v>
      </c>
      <c r="AD8" s="29" t="s">
        <v>45</v>
      </c>
      <c r="AE8" s="30" t="n">
        <f aca="false">ROUND(T8/1.13*1.08,4)</f>
        <v>30.5841</v>
      </c>
    </row>
    <row r="9" customFormat="false" ht="42" hidden="false" customHeight="true" outlineLevel="0" collapsed="false">
      <c r="A9" s="15" t="s">
        <v>94</v>
      </c>
      <c r="B9" s="16" t="s">
        <v>95</v>
      </c>
      <c r="C9" s="17" t="s">
        <v>96</v>
      </c>
      <c r="D9" s="15" t="s">
        <v>32</v>
      </c>
      <c r="E9" s="15" t="s">
        <v>32</v>
      </c>
      <c r="F9" s="15" t="s">
        <v>32</v>
      </c>
      <c r="G9" s="15" t="n">
        <v>8544601290</v>
      </c>
      <c r="H9" s="15" t="n">
        <v>85444941</v>
      </c>
      <c r="I9" s="19" t="s">
        <v>97</v>
      </c>
      <c r="J9" s="20" t="s">
        <v>69</v>
      </c>
      <c r="K9" s="21" t="s">
        <v>70</v>
      </c>
      <c r="L9" s="21" t="s">
        <v>32</v>
      </c>
      <c r="M9" s="21" t="s">
        <v>32</v>
      </c>
      <c r="N9" s="22" t="n">
        <v>46150</v>
      </c>
      <c r="O9" s="21" t="s">
        <v>39</v>
      </c>
      <c r="P9" s="21" t="s">
        <v>40</v>
      </c>
      <c r="Q9" s="23"/>
      <c r="R9" s="21"/>
      <c r="S9" s="21" t="n">
        <v>50</v>
      </c>
      <c r="T9" s="24" t="n">
        <v>2.5</v>
      </c>
      <c r="U9" s="25" t="n">
        <f aca="false">ROUND(T9/1.13*1.08/6.8167,4)</f>
        <v>0.3505</v>
      </c>
      <c r="V9" s="26" t="n">
        <f aca="false">ROUND(U9*S9,2)</f>
        <v>17.53</v>
      </c>
      <c r="W9" s="27"/>
      <c r="X9" s="27"/>
      <c r="Y9" s="28"/>
      <c r="Z9" s="15" t="n">
        <v>2.75</v>
      </c>
      <c r="AA9" s="27"/>
      <c r="AB9" s="15" t="s">
        <v>98</v>
      </c>
      <c r="AC9" s="15" t="s">
        <v>72</v>
      </c>
      <c r="AD9" s="29" t="s">
        <v>45</v>
      </c>
      <c r="AE9" s="30" t="n">
        <f aca="false">ROUND(T9/1.13*1.08,4)</f>
        <v>2.3894</v>
      </c>
    </row>
    <row r="10" customFormat="false" ht="58.75" hidden="false" customHeight="true" outlineLevel="0" collapsed="false">
      <c r="A10" s="15" t="s">
        <v>99</v>
      </c>
      <c r="B10" s="16" t="s">
        <v>100</v>
      </c>
      <c r="C10" s="17" t="s">
        <v>101</v>
      </c>
      <c r="D10" s="15" t="s">
        <v>102</v>
      </c>
      <c r="E10" s="15" t="s">
        <v>32</v>
      </c>
      <c r="F10" s="15" t="s">
        <v>32</v>
      </c>
      <c r="G10" s="15" t="n">
        <v>8544422900</v>
      </c>
      <c r="H10" s="32" t="n">
        <v>85444296</v>
      </c>
      <c r="I10" s="19" t="s">
        <v>103</v>
      </c>
      <c r="J10" s="20" t="s">
        <v>104</v>
      </c>
      <c r="K10" s="21" t="s">
        <v>105</v>
      </c>
      <c r="L10" s="21" t="s">
        <v>32</v>
      </c>
      <c r="M10" s="21" t="s">
        <v>32</v>
      </c>
      <c r="N10" s="22" t="n">
        <v>46150</v>
      </c>
      <c r="O10" s="21" t="s">
        <v>39</v>
      </c>
      <c r="P10" s="21" t="s">
        <v>40</v>
      </c>
      <c r="Q10" s="23"/>
      <c r="R10" s="21"/>
      <c r="S10" s="21" t="n">
        <v>30</v>
      </c>
      <c r="T10" s="24" t="n">
        <v>10</v>
      </c>
      <c r="U10" s="25" t="n">
        <f aca="false">ROUND(T10/1.13*1.08/6.8167,4)</f>
        <v>1.4021</v>
      </c>
      <c r="V10" s="26" t="n">
        <f aca="false">ROUND(U10*S10,2)</f>
        <v>42.06</v>
      </c>
      <c r="W10" s="27"/>
      <c r="X10" s="27"/>
      <c r="Y10" s="28"/>
      <c r="Z10" s="15" t="n">
        <v>1.6</v>
      </c>
      <c r="AA10" s="27"/>
      <c r="AB10" s="15" t="s">
        <v>106</v>
      </c>
      <c r="AC10" s="15" t="s">
        <v>107</v>
      </c>
      <c r="AD10" s="29" t="s">
        <v>45</v>
      </c>
      <c r="AE10" s="30" t="n">
        <f aca="false">ROUND(T10/1.13*1.08,4)</f>
        <v>9.5575</v>
      </c>
    </row>
    <row r="11" customFormat="false" ht="42" hidden="false" customHeight="true" outlineLevel="0" collapsed="false">
      <c r="A11" s="15" t="s">
        <v>108</v>
      </c>
      <c r="B11" s="16" t="s">
        <v>109</v>
      </c>
      <c r="C11" s="17"/>
      <c r="D11" s="15" t="s">
        <v>110</v>
      </c>
      <c r="E11" s="15" t="s">
        <v>32</v>
      </c>
      <c r="F11" s="15" t="s">
        <v>32</v>
      </c>
      <c r="G11" s="15" t="n">
        <v>8536690000</v>
      </c>
      <c r="H11" s="32" t="n">
        <v>85366923</v>
      </c>
      <c r="I11" s="19" t="s">
        <v>111</v>
      </c>
      <c r="J11" s="20" t="s">
        <v>112</v>
      </c>
      <c r="K11" s="21" t="s">
        <v>113</v>
      </c>
      <c r="L11" s="21" t="s">
        <v>32</v>
      </c>
      <c r="M11" s="21" t="s">
        <v>32</v>
      </c>
      <c r="N11" s="22" t="n">
        <v>46150</v>
      </c>
      <c r="O11" s="21" t="s">
        <v>39</v>
      </c>
      <c r="P11" s="21" t="s">
        <v>40</v>
      </c>
      <c r="Q11" s="23"/>
      <c r="R11" s="21"/>
      <c r="S11" s="21" t="n">
        <v>30</v>
      </c>
      <c r="T11" s="24" t="n">
        <v>4.5</v>
      </c>
      <c r="U11" s="25" t="n">
        <f aca="false">ROUND(T11/1.13*1.08/6.8167,4)</f>
        <v>0.6309</v>
      </c>
      <c r="V11" s="26" t="n">
        <f aca="false">ROUND(U11*S11,2)</f>
        <v>18.93</v>
      </c>
      <c r="W11" s="27"/>
      <c r="X11" s="27"/>
      <c r="Y11" s="28"/>
      <c r="Z11" s="15" t="n">
        <v>0.4</v>
      </c>
      <c r="AA11" s="27"/>
      <c r="AB11" s="15" t="s">
        <v>114</v>
      </c>
      <c r="AC11" s="15" t="s">
        <v>72</v>
      </c>
      <c r="AD11" s="29" t="s">
        <v>45</v>
      </c>
      <c r="AE11" s="30" t="n">
        <f aca="false">ROUND(T11/1.13*1.08,4)</f>
        <v>4.3009</v>
      </c>
    </row>
    <row r="12" customFormat="false" ht="42" hidden="false" customHeight="true" outlineLevel="0" collapsed="false">
      <c r="A12" s="15" t="s">
        <v>115</v>
      </c>
      <c r="B12" s="16" t="s">
        <v>116</v>
      </c>
      <c r="C12" s="17" t="s">
        <v>117</v>
      </c>
      <c r="D12" s="15" t="s">
        <v>118</v>
      </c>
      <c r="E12" s="15" t="s">
        <v>32</v>
      </c>
      <c r="F12" s="15" t="s">
        <v>32</v>
      </c>
      <c r="G12" s="15" t="n">
        <v>8479909090</v>
      </c>
      <c r="H12" s="15" t="n">
        <v>84799030</v>
      </c>
      <c r="I12" s="19" t="s">
        <v>119</v>
      </c>
      <c r="J12" s="20" t="s">
        <v>112</v>
      </c>
      <c r="K12" s="21" t="s">
        <v>113</v>
      </c>
      <c r="L12" s="21" t="s">
        <v>32</v>
      </c>
      <c r="M12" s="21" t="s">
        <v>32</v>
      </c>
      <c r="N12" s="22" t="n">
        <v>46150</v>
      </c>
      <c r="O12" s="21" t="s">
        <v>39</v>
      </c>
      <c r="P12" s="21" t="s">
        <v>40</v>
      </c>
      <c r="Q12" s="23"/>
      <c r="R12" s="21"/>
      <c r="S12" s="21" t="n">
        <v>200</v>
      </c>
      <c r="T12" s="24" t="n">
        <v>0.6</v>
      </c>
      <c r="U12" s="25" t="n">
        <f aca="false">ROUND(T12/1.13*1.08/6.8167,4)</f>
        <v>0.0841</v>
      </c>
      <c r="V12" s="26" t="n">
        <f aca="false">ROUND(U12*S12,2)</f>
        <v>16.82</v>
      </c>
      <c r="W12" s="27"/>
      <c r="X12" s="27"/>
      <c r="Y12" s="28"/>
      <c r="Z12" s="15" t="n">
        <v>0.02</v>
      </c>
      <c r="AA12" s="27"/>
      <c r="AB12" s="15" t="s">
        <v>120</v>
      </c>
      <c r="AC12" s="15" t="s">
        <v>121</v>
      </c>
      <c r="AD12" s="29" t="s">
        <v>45</v>
      </c>
      <c r="AE12" s="30" t="n">
        <f aca="false">ROUND(T12/1.13*1.08,4)</f>
        <v>0.5735</v>
      </c>
    </row>
    <row r="13" customFormat="false" ht="42" hidden="false" customHeight="true" outlineLevel="0" collapsed="false">
      <c r="A13" s="15" t="s">
        <v>122</v>
      </c>
      <c r="B13" s="16" t="s">
        <v>123</v>
      </c>
      <c r="C13" s="17"/>
      <c r="D13" s="15" t="s">
        <v>124</v>
      </c>
      <c r="E13" s="15" t="s">
        <v>32</v>
      </c>
      <c r="F13" s="15" t="s">
        <v>32</v>
      </c>
      <c r="G13" s="15" t="n">
        <v>7326909000</v>
      </c>
      <c r="H13" s="32" t="n">
        <v>73269099</v>
      </c>
      <c r="I13" s="19" t="s">
        <v>125</v>
      </c>
      <c r="J13" s="20" t="s">
        <v>126</v>
      </c>
      <c r="K13" s="21" t="s">
        <v>127</v>
      </c>
      <c r="L13" s="21" t="s">
        <v>32</v>
      </c>
      <c r="M13" s="21" t="s">
        <v>32</v>
      </c>
      <c r="N13" s="22" t="n">
        <v>46150</v>
      </c>
      <c r="O13" s="21" t="s">
        <v>39</v>
      </c>
      <c r="P13" s="21" t="s">
        <v>40</v>
      </c>
      <c r="Q13" s="23"/>
      <c r="R13" s="21"/>
      <c r="S13" s="21" t="n">
        <v>30</v>
      </c>
      <c r="T13" s="24" t="n">
        <v>4</v>
      </c>
      <c r="U13" s="25" t="n">
        <f aca="false">ROUND(T13/1.13*1.08/6.8167,4)</f>
        <v>0.5608</v>
      </c>
      <c r="V13" s="26" t="n">
        <f aca="false">ROUND(U13*S13,2)</f>
        <v>16.82</v>
      </c>
      <c r="W13" s="27"/>
      <c r="X13" s="27"/>
      <c r="Y13" s="28"/>
      <c r="Z13" s="15" t="n">
        <v>0.62</v>
      </c>
      <c r="AA13" s="27"/>
      <c r="AB13" s="15" t="s">
        <v>128</v>
      </c>
      <c r="AC13" s="15" t="s">
        <v>64</v>
      </c>
      <c r="AD13" s="29" t="s">
        <v>45</v>
      </c>
      <c r="AE13" s="30" t="n">
        <f aca="false">ROUND(T13/1.13*1.08,4)</f>
        <v>3.823</v>
      </c>
    </row>
    <row r="14" customFormat="false" ht="42" hidden="false" customHeight="true" outlineLevel="0" collapsed="false">
      <c r="A14" s="15" t="s">
        <v>129</v>
      </c>
      <c r="B14" s="16" t="s">
        <v>130</v>
      </c>
      <c r="C14" s="17" t="s">
        <v>131</v>
      </c>
      <c r="D14" s="15" t="s">
        <v>132</v>
      </c>
      <c r="E14" s="15" t="s">
        <v>32</v>
      </c>
      <c r="F14" s="15" t="s">
        <v>32</v>
      </c>
      <c r="G14" s="15" t="n">
        <v>8518210000</v>
      </c>
      <c r="H14" s="32" t="n">
        <v>85182190</v>
      </c>
      <c r="I14" s="19" t="s">
        <v>133</v>
      </c>
      <c r="J14" s="20" t="s">
        <v>134</v>
      </c>
      <c r="K14" s="21" t="s">
        <v>135</v>
      </c>
      <c r="L14" s="21" t="s">
        <v>136</v>
      </c>
      <c r="M14" s="21" t="s">
        <v>137</v>
      </c>
      <c r="N14" s="22" t="n">
        <v>46150</v>
      </c>
      <c r="O14" s="21" t="s">
        <v>39</v>
      </c>
      <c r="P14" s="21" t="s">
        <v>40</v>
      </c>
      <c r="Q14" s="23"/>
      <c r="R14" s="21"/>
      <c r="S14" s="21" t="n">
        <v>4</v>
      </c>
      <c r="T14" s="24" t="n">
        <v>32</v>
      </c>
      <c r="U14" s="25" t="n">
        <f aca="false">ROUND(T14/1.13*1.08/6.8167,4)</f>
        <v>4.4866</v>
      </c>
      <c r="V14" s="26" t="n">
        <f aca="false">ROUND(U14*S14,2)</f>
        <v>17.95</v>
      </c>
      <c r="W14" s="27"/>
      <c r="X14" s="27"/>
      <c r="Y14" s="28"/>
      <c r="Z14" s="15" t="n">
        <v>0.98</v>
      </c>
      <c r="AA14" s="27"/>
      <c r="AB14" s="15" t="s">
        <v>138</v>
      </c>
      <c r="AC14" s="15" t="s">
        <v>64</v>
      </c>
      <c r="AD14" s="29" t="s">
        <v>45</v>
      </c>
      <c r="AE14" s="30" t="n">
        <f aca="false">ROUND(T14/1.13*1.08,4)</f>
        <v>30.5841</v>
      </c>
    </row>
    <row r="15" customFormat="false" ht="42" hidden="false" customHeight="true" outlineLevel="0" collapsed="false">
      <c r="A15" s="15" t="s">
        <v>139</v>
      </c>
      <c r="B15" s="16" t="s">
        <v>140</v>
      </c>
      <c r="C15" s="17" t="s">
        <v>141</v>
      </c>
      <c r="D15" s="15" t="s">
        <v>142</v>
      </c>
      <c r="E15" s="15" t="s">
        <v>32</v>
      </c>
      <c r="F15" s="15" t="s">
        <v>32</v>
      </c>
      <c r="G15" s="15" t="n">
        <v>8515900090</v>
      </c>
      <c r="H15" s="32" t="n">
        <v>85159090</v>
      </c>
      <c r="I15" s="19" t="s">
        <v>143</v>
      </c>
      <c r="J15" s="20" t="s">
        <v>144</v>
      </c>
      <c r="K15" s="21" t="s">
        <v>145</v>
      </c>
      <c r="L15" s="21" t="s">
        <v>32</v>
      </c>
      <c r="M15" s="21" t="s">
        <v>32</v>
      </c>
      <c r="N15" s="22" t="n">
        <v>46150</v>
      </c>
      <c r="O15" s="21" t="s">
        <v>39</v>
      </c>
      <c r="P15" s="21" t="s">
        <v>40</v>
      </c>
      <c r="Q15" s="23"/>
      <c r="R15" s="21"/>
      <c r="S15" s="21" t="n">
        <v>20</v>
      </c>
      <c r="T15" s="24" t="n">
        <v>18</v>
      </c>
      <c r="U15" s="25" t="n">
        <f aca="false">ROUND(T15/1.13*1.08/6.8167,4)</f>
        <v>2.5237</v>
      </c>
      <c r="V15" s="26" t="n">
        <f aca="false">ROUND(U15*S15,2)</f>
        <v>50.47</v>
      </c>
      <c r="W15" s="27"/>
      <c r="X15" s="27"/>
      <c r="Y15" s="28"/>
      <c r="Z15" s="15" t="n">
        <v>0.28</v>
      </c>
      <c r="AA15" s="27"/>
      <c r="AB15" s="15" t="s">
        <v>146</v>
      </c>
      <c r="AC15" s="15" t="s">
        <v>107</v>
      </c>
      <c r="AD15" s="29" t="s">
        <v>45</v>
      </c>
      <c r="AE15" s="30" t="n">
        <f aca="false">ROUND(T15/1.13*1.08,4)</f>
        <v>17.2035</v>
      </c>
    </row>
    <row r="16" customFormat="false" ht="42" hidden="false" customHeight="true" outlineLevel="0" collapsed="false">
      <c r="A16" s="15" t="s">
        <v>147</v>
      </c>
      <c r="B16" s="16" t="s">
        <v>148</v>
      </c>
      <c r="C16" s="17" t="s">
        <v>149</v>
      </c>
      <c r="D16" s="15" t="s">
        <v>150</v>
      </c>
      <c r="E16" s="15" t="s">
        <v>32</v>
      </c>
      <c r="F16" s="15" t="s">
        <v>32</v>
      </c>
      <c r="G16" s="15" t="n">
        <v>8451900000</v>
      </c>
      <c r="H16" s="32" t="n">
        <v>84519090</v>
      </c>
      <c r="I16" s="19" t="s">
        <v>151</v>
      </c>
      <c r="J16" s="20" t="s">
        <v>152</v>
      </c>
      <c r="K16" s="21"/>
      <c r="L16" s="21" t="s">
        <v>32</v>
      </c>
      <c r="M16" s="21" t="s">
        <v>32</v>
      </c>
      <c r="N16" s="22" t="n">
        <v>46182</v>
      </c>
      <c r="O16" s="21" t="s">
        <v>39</v>
      </c>
      <c r="P16" s="21" t="s">
        <v>40</v>
      </c>
      <c r="Q16" s="23"/>
      <c r="R16" s="21"/>
      <c r="S16" s="21" t="n">
        <v>4</v>
      </c>
      <c r="T16" s="24" t="n">
        <v>100</v>
      </c>
      <c r="U16" s="25" t="n">
        <f aca="false">ROUND(T16/1.13*1.08/6.8167,4)</f>
        <v>14.0207</v>
      </c>
      <c r="V16" s="26" t="n">
        <f aca="false">ROUND(U16*S16,2)</f>
        <v>56.08</v>
      </c>
      <c r="W16" s="27"/>
      <c r="X16" s="27"/>
      <c r="Y16" s="28"/>
      <c r="Z16" s="15" t="n">
        <v>0.2</v>
      </c>
      <c r="AA16" s="27"/>
      <c r="AB16" s="15" t="s">
        <v>153</v>
      </c>
      <c r="AC16" s="15" t="s">
        <v>64</v>
      </c>
      <c r="AD16" s="29" t="s">
        <v>45</v>
      </c>
      <c r="AE16" s="30" t="n">
        <f aca="false">ROUND(T16/1.13*1.08,4)</f>
        <v>95.5752</v>
      </c>
    </row>
    <row r="17" customFormat="false" ht="42" hidden="false" customHeight="true" outlineLevel="0" collapsed="false">
      <c r="A17" s="15" t="s">
        <v>147</v>
      </c>
      <c r="B17" s="16" t="s">
        <v>154</v>
      </c>
      <c r="C17" s="17" t="s">
        <v>149</v>
      </c>
      <c r="D17" s="15" t="s">
        <v>155</v>
      </c>
      <c r="E17" s="15" t="s">
        <v>32</v>
      </c>
      <c r="F17" s="15" t="s">
        <v>32</v>
      </c>
      <c r="G17" s="15" t="n">
        <v>8451900000</v>
      </c>
      <c r="H17" s="32" t="n">
        <v>84519090</v>
      </c>
      <c r="I17" s="19" t="s">
        <v>156</v>
      </c>
      <c r="J17" s="20" t="s">
        <v>152</v>
      </c>
      <c r="K17" s="21"/>
      <c r="L17" s="21" t="s">
        <v>32</v>
      </c>
      <c r="M17" s="21" t="s">
        <v>32</v>
      </c>
      <c r="N17" s="22" t="n">
        <v>46182</v>
      </c>
      <c r="O17" s="21" t="s">
        <v>39</v>
      </c>
      <c r="P17" s="21" t="s">
        <v>40</v>
      </c>
      <c r="Q17" s="23"/>
      <c r="R17" s="21"/>
      <c r="S17" s="21" t="n">
        <v>6</v>
      </c>
      <c r="T17" s="24" t="n">
        <v>85</v>
      </c>
      <c r="U17" s="25" t="n">
        <f aca="false">ROUND(T17/1.13*1.08/6.8167,4)</f>
        <v>11.9176</v>
      </c>
      <c r="V17" s="26" t="n">
        <f aca="false">ROUND(U17*S17,2)</f>
        <v>71.51</v>
      </c>
      <c r="W17" s="27"/>
      <c r="X17" s="27"/>
      <c r="Y17" s="28"/>
      <c r="Z17" s="15" t="n">
        <v>0.1</v>
      </c>
      <c r="AA17" s="27"/>
      <c r="AB17" s="15" t="s">
        <v>157</v>
      </c>
      <c r="AC17" s="15" t="s">
        <v>64</v>
      </c>
      <c r="AD17" s="29" t="s">
        <v>45</v>
      </c>
      <c r="AE17" s="30" t="n">
        <f aca="false">ROUND(T17/1.13*1.08,4)</f>
        <v>81.2389</v>
      </c>
    </row>
    <row r="18" customFormat="false" ht="42" hidden="false" customHeight="true" outlineLevel="0" collapsed="false">
      <c r="A18" s="15" t="s">
        <v>158</v>
      </c>
      <c r="B18" s="16" t="s">
        <v>159</v>
      </c>
      <c r="C18" s="17"/>
      <c r="D18" s="15" t="s">
        <v>160</v>
      </c>
      <c r="E18" s="15" t="s">
        <v>32</v>
      </c>
      <c r="F18" s="15" t="s">
        <v>32</v>
      </c>
      <c r="G18" s="15" t="n">
        <v>8467299000</v>
      </c>
      <c r="H18" s="32" t="n">
        <v>84672900</v>
      </c>
      <c r="I18" s="19" t="s">
        <v>161</v>
      </c>
      <c r="J18" s="20" t="s">
        <v>162</v>
      </c>
      <c r="K18" s="21"/>
      <c r="L18" s="21" t="s">
        <v>163</v>
      </c>
      <c r="M18" s="21" t="s">
        <v>60</v>
      </c>
      <c r="N18" s="22" t="n">
        <v>46150</v>
      </c>
      <c r="O18" s="21" t="s">
        <v>39</v>
      </c>
      <c r="P18" s="21" t="s">
        <v>40</v>
      </c>
      <c r="Q18" s="23"/>
      <c r="R18" s="21"/>
      <c r="S18" s="21" t="n">
        <v>10</v>
      </c>
      <c r="T18" s="24" t="n">
        <v>120</v>
      </c>
      <c r="U18" s="25" t="n">
        <f aca="false">ROUND(T18/1.13*1.08/6.8167,4)</f>
        <v>16.8249</v>
      </c>
      <c r="V18" s="26" t="n">
        <f aca="false">ROUND(U18*S18,2)</f>
        <v>168.25</v>
      </c>
      <c r="W18" s="27" t="s">
        <v>164</v>
      </c>
      <c r="X18" s="27" t="n">
        <v>1</v>
      </c>
      <c r="Y18" s="28" t="n">
        <v>15</v>
      </c>
      <c r="Z18" s="15" t="n">
        <v>5.5</v>
      </c>
      <c r="AA18" s="27" t="s">
        <v>165</v>
      </c>
      <c r="AB18" s="15" t="s">
        <v>166</v>
      </c>
      <c r="AC18" s="15" t="s">
        <v>167</v>
      </c>
      <c r="AD18" s="29" t="s">
        <v>45</v>
      </c>
      <c r="AE18" s="30" t="n">
        <f aca="false">ROUND(T18/1.13*1.08,4)</f>
        <v>114.6903</v>
      </c>
    </row>
    <row r="19" customFormat="false" ht="42" hidden="false" customHeight="true" outlineLevel="0" collapsed="false">
      <c r="A19" s="15" t="s">
        <v>168</v>
      </c>
      <c r="B19" s="16" t="s">
        <v>169</v>
      </c>
      <c r="C19" s="17"/>
      <c r="D19" s="15" t="s">
        <v>170</v>
      </c>
      <c r="E19" s="15" t="s">
        <v>32</v>
      </c>
      <c r="F19" s="15" t="s">
        <v>32</v>
      </c>
      <c r="G19" s="15" t="n">
        <v>8467299000</v>
      </c>
      <c r="H19" s="32" t="n">
        <v>84672900</v>
      </c>
      <c r="I19" s="19" t="s">
        <v>171</v>
      </c>
      <c r="J19" s="20" t="s">
        <v>162</v>
      </c>
      <c r="K19" s="21"/>
      <c r="L19" s="21" t="s">
        <v>163</v>
      </c>
      <c r="M19" s="21" t="s">
        <v>172</v>
      </c>
      <c r="N19" s="22" t="n">
        <v>46150</v>
      </c>
      <c r="O19" s="21" t="s">
        <v>39</v>
      </c>
      <c r="P19" s="21" t="s">
        <v>40</v>
      </c>
      <c r="Q19" s="23"/>
      <c r="R19" s="21"/>
      <c r="S19" s="21" t="n">
        <v>10</v>
      </c>
      <c r="T19" s="24" t="n">
        <v>125</v>
      </c>
      <c r="U19" s="25" t="n">
        <f aca="false">ROUND(T19/1.13*1.08/6.8167,4)</f>
        <v>17.5259</v>
      </c>
      <c r="V19" s="26" t="n">
        <f aca="false">ROUND(U19*S19,2)</f>
        <v>175.26</v>
      </c>
      <c r="W19" s="27"/>
      <c r="X19" s="27"/>
      <c r="Y19" s="28"/>
      <c r="Z19" s="15" t="n">
        <v>7.5</v>
      </c>
      <c r="AA19" s="27"/>
      <c r="AB19" s="15" t="s">
        <v>166</v>
      </c>
      <c r="AC19" s="15" t="s">
        <v>167</v>
      </c>
      <c r="AD19" s="29" t="s">
        <v>45</v>
      </c>
      <c r="AE19" s="30" t="n">
        <f aca="false">ROUND(T19/1.13*1.08,4)</f>
        <v>119.469</v>
      </c>
    </row>
    <row r="20" customFormat="false" ht="42" hidden="false" customHeight="true" outlineLevel="0" collapsed="false">
      <c r="A20" s="15" t="s">
        <v>173</v>
      </c>
      <c r="B20" s="34" t="s">
        <v>174</v>
      </c>
      <c r="C20" s="17" t="s">
        <v>175</v>
      </c>
      <c r="D20" s="15" t="s">
        <v>32</v>
      </c>
      <c r="E20" s="15" t="s">
        <v>32</v>
      </c>
      <c r="F20" s="15" t="s">
        <v>32</v>
      </c>
      <c r="G20" s="15" t="n">
        <v>8477900000</v>
      </c>
      <c r="H20" s="32" t="n">
        <v>84779039</v>
      </c>
      <c r="I20" s="19" t="s">
        <v>176</v>
      </c>
      <c r="J20" s="20" t="s">
        <v>77</v>
      </c>
      <c r="K20" s="21"/>
      <c r="L20" s="21" t="s">
        <v>32</v>
      </c>
      <c r="M20" s="21" t="s">
        <v>32</v>
      </c>
      <c r="N20" s="22" t="n">
        <v>46157</v>
      </c>
      <c r="O20" s="21" t="s">
        <v>39</v>
      </c>
      <c r="P20" s="21" t="s">
        <v>40</v>
      </c>
      <c r="Q20" s="23"/>
      <c r="R20" s="21"/>
      <c r="S20" s="21" t="n">
        <v>5</v>
      </c>
      <c r="T20" s="24" t="n">
        <v>5</v>
      </c>
      <c r="U20" s="25" t="n">
        <f aca="false">ROUND(T20/1.13*1.08/6.8167,4)</f>
        <v>0.701</v>
      </c>
      <c r="V20" s="26" t="n">
        <f aca="false">ROUND(U20*S20,2)</f>
        <v>3.51</v>
      </c>
      <c r="W20" s="27" t="s">
        <v>177</v>
      </c>
      <c r="X20" s="27" t="n">
        <v>1</v>
      </c>
      <c r="Y20" s="28" t="n">
        <v>1.65</v>
      </c>
      <c r="Z20" s="15" t="n">
        <v>1.5</v>
      </c>
      <c r="AA20" s="27" t="s">
        <v>178</v>
      </c>
      <c r="AB20" s="15" t="s">
        <v>179</v>
      </c>
      <c r="AC20" s="15" t="s">
        <v>44</v>
      </c>
      <c r="AD20" s="29" t="s">
        <v>45</v>
      </c>
      <c r="AE20" s="30" t="n">
        <f aca="false">ROUND(T20/1.13*1.08,4)</f>
        <v>4.7788</v>
      </c>
    </row>
    <row r="21" customFormat="false" ht="48.05" hidden="false" customHeight="false" outlineLevel="0" collapsed="false">
      <c r="A21" s="15" t="s">
        <v>180</v>
      </c>
      <c r="B21" s="34" t="s">
        <v>181</v>
      </c>
      <c r="C21" s="17" t="s">
        <v>182</v>
      </c>
      <c r="D21" s="15" t="s">
        <v>183</v>
      </c>
      <c r="E21" s="15" t="s">
        <v>32</v>
      </c>
      <c r="F21" s="15" t="s">
        <v>32</v>
      </c>
      <c r="G21" s="15" t="n">
        <v>8440102000</v>
      </c>
      <c r="H21" s="35" t="s">
        <v>184</v>
      </c>
      <c r="I21" s="19" t="s">
        <v>185</v>
      </c>
      <c r="J21" s="20"/>
      <c r="K21" s="21" t="s">
        <v>186</v>
      </c>
      <c r="L21" s="21" t="s">
        <v>32</v>
      </c>
      <c r="M21" s="21" t="s">
        <v>32</v>
      </c>
      <c r="N21" s="22" t="n">
        <v>46184</v>
      </c>
      <c r="O21" s="21" t="s">
        <v>39</v>
      </c>
      <c r="P21" s="21" t="s">
        <v>40</v>
      </c>
      <c r="Q21" s="23"/>
      <c r="R21" s="21"/>
      <c r="S21" s="21" t="n">
        <v>3</v>
      </c>
      <c r="T21" s="24" t="n">
        <v>1500</v>
      </c>
      <c r="U21" s="25" t="n">
        <f aca="false">ROUND(T21/1.13*1.08/6.8167,4)</f>
        <v>210.3112</v>
      </c>
      <c r="V21" s="26" t="n">
        <f aca="false">ROUND(U21*S21,2)</f>
        <v>630.93</v>
      </c>
      <c r="W21" s="27"/>
      <c r="X21" s="27"/>
      <c r="Y21" s="28"/>
      <c r="Z21" s="15" t="n">
        <v>0.05</v>
      </c>
      <c r="AA21" s="27" t="s">
        <v>187</v>
      </c>
      <c r="AB21" s="15" t="s">
        <v>188</v>
      </c>
      <c r="AC21" s="15" t="s">
        <v>44</v>
      </c>
      <c r="AD21" s="29" t="s">
        <v>45</v>
      </c>
      <c r="AE21" s="30" t="n">
        <f aca="false">ROUND(T21/1.13*1.08,4)</f>
        <v>1433.6283</v>
      </c>
    </row>
    <row r="22" customFormat="false" ht="36" hidden="false" customHeight="true" outlineLevel="0" collapsed="false">
      <c r="S22" s="3" t="n">
        <f aca="false">SUM(S2:S21)</f>
        <v>437</v>
      </c>
      <c r="V22" s="6" t="n">
        <f aca="false">SUM(V2:V21)</f>
        <v>6557.5</v>
      </c>
      <c r="X22" s="1" t="n">
        <f aca="false">SUM(X2:X21)</f>
        <v>5</v>
      </c>
      <c r="Y22" s="1" t="n">
        <f aca="false">SUM(Y2:Y21)</f>
        <v>277.65</v>
      </c>
      <c r="Z22" s="3" t="n">
        <f aca="false">SUM(Z2:Z21)</f>
        <v>244.76</v>
      </c>
    </row>
  </sheetData>
  <autoFilter ref="A1:AE22"/>
  <mergeCells count="11">
    <mergeCell ref="W4:W17"/>
    <mergeCell ref="X4:X17"/>
    <mergeCell ref="Y4:Y17"/>
    <mergeCell ref="AA4:AA17"/>
    <mergeCell ref="W18:W19"/>
    <mergeCell ref="X18:X19"/>
    <mergeCell ref="Y18:Y19"/>
    <mergeCell ref="AA18:AA19"/>
    <mergeCell ref="W20:W21"/>
    <mergeCell ref="X20:X21"/>
    <mergeCell ref="Y20:Y21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2026-07-07T13:00:32Z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