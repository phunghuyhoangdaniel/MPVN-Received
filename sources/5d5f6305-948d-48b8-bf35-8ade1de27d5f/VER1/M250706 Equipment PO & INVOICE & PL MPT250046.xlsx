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Y:\current data\1 DUNG + MAI\3- IM-EX-2025\THÁNG 07\4.IMPORT OVERSEA\25.MPT250045-MPT250046-TS250022\"/>
    </mc:Choice>
  </mc:AlternateContent>
  <xr:revisionPtr revIDLastSave="0" documentId="13_ncr:1_{5C671EB5-7951-46D3-8939-BFE1C00AFD19}" xr6:coauthVersionLast="47" xr6:coauthVersionMax="47" xr10:uidLastSave="{00000000-0000-0000-0000-000000000000}"/>
  <bookViews>
    <workbookView xWindow="-48" yWindow="-48" windowWidth="23136" windowHeight="12456" tabRatio="946" activeTab="5" xr2:uid="{00000000-000D-0000-FFFF-FFFF00000000}"/>
  </bookViews>
  <sheets>
    <sheet name="250611-1117" sheetId="28" r:id="rId1"/>
    <sheet name="250627-1115" sheetId="29" r:id="rId2"/>
    <sheet name="250637-1117" sheetId="31" r:id="rId3"/>
    <sheet name="250648-1117" sheetId="32" r:id="rId4"/>
    <sheet name="250663-1115" sheetId="33" r:id="rId5"/>
    <sheet name="Invoice " sheetId="1" r:id="rId6"/>
    <sheet name="Packing list " sheetId="4" r:id="rId7"/>
  </sheets>
  <definedNames>
    <definedName name="_xlnm._FilterDatabase" localSheetId="5" hidden="1">'Invoice '!$A$15:$L$69</definedName>
    <definedName name="_xlnm._FilterDatabase" localSheetId="6" hidden="1">'Packing list '!$A$1:$K$71</definedName>
    <definedName name="_xlnm.Print_Area" localSheetId="5">'Invoice '!$A$1:$L$78</definedName>
    <definedName name="_xlnm.Print_Area" localSheetId="6">'Packing list '!$A$1:$K$74</definedName>
  </definedNames>
  <calcPr calcId="191029"/>
</workbook>
</file>

<file path=xl/calcChain.xml><?xml version="1.0" encoding="utf-8"?>
<calcChain xmlns="http://schemas.openxmlformats.org/spreadsheetml/2006/main">
  <c r="J69" i="4" l="1"/>
  <c r="I69" i="4"/>
  <c r="F69" i="4"/>
  <c r="B12" i="4"/>
  <c r="H11" i="4"/>
  <c r="B11" i="4"/>
  <c r="H10" i="4"/>
  <c r="H9" i="4"/>
  <c r="B9" i="4"/>
  <c r="H8" i="4"/>
  <c r="B8" i="4"/>
  <c r="H7" i="4"/>
  <c r="H6" i="4"/>
  <c r="B6" i="4"/>
  <c r="H5" i="4"/>
  <c r="H4" i="4"/>
  <c r="H3" i="4"/>
  <c r="B3" i="4"/>
  <c r="H2" i="4"/>
  <c r="I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69" i="1" s="1"/>
  <c r="D51" i="33"/>
  <c r="H50" i="33"/>
  <c r="H49" i="33"/>
  <c r="H48" i="33"/>
  <c r="H47" i="33"/>
  <c r="H46" i="33"/>
  <c r="H45" i="33"/>
  <c r="H44" i="33"/>
  <c r="H43" i="33"/>
  <c r="H42" i="33"/>
  <c r="H41" i="33"/>
  <c r="H40" i="33"/>
  <c r="H39" i="33"/>
  <c r="H38" i="33"/>
  <c r="H37" i="33"/>
  <c r="H36" i="33"/>
  <c r="H35" i="33"/>
  <c r="H34" i="33"/>
  <c r="H33" i="33"/>
  <c r="H32" i="33"/>
  <c r="H31" i="33"/>
  <c r="H30" i="33"/>
  <c r="H29" i="33"/>
  <c r="H28" i="33"/>
  <c r="H27" i="33"/>
  <c r="H26" i="33"/>
  <c r="H25" i="33"/>
  <c r="H24" i="33"/>
  <c r="H23" i="33"/>
  <c r="H22" i="33"/>
  <c r="H21" i="33"/>
  <c r="H20" i="33"/>
  <c r="H19" i="33"/>
  <c r="H18" i="33"/>
  <c r="H17" i="33"/>
  <c r="H16" i="33"/>
  <c r="H15" i="33"/>
  <c r="H51" i="33" s="1"/>
  <c r="H14" i="33"/>
  <c r="H13" i="33"/>
  <c r="D16" i="32"/>
  <c r="H15" i="32"/>
  <c r="H14" i="32"/>
  <c r="H13" i="32"/>
  <c r="H16" i="32" s="1"/>
  <c r="D15" i="31"/>
  <c r="H14" i="31"/>
  <c r="H13" i="31"/>
  <c r="H15" i="31" s="1"/>
  <c r="D20" i="29"/>
  <c r="H19" i="29"/>
  <c r="H18" i="29"/>
  <c r="H17" i="29"/>
  <c r="H20" i="29" s="1"/>
  <c r="H16" i="29"/>
  <c r="H15" i="29"/>
  <c r="H14" i="29"/>
  <c r="H13" i="29"/>
  <c r="D15" i="28"/>
  <c r="H14" i="28"/>
  <c r="H13" i="28"/>
  <c r="H15" i="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J10" authorId="0" shapeId="0" xr:uid="{00000000-0006-0000-0500-000001000000}">
      <text>
        <r>
          <rPr>
            <sz val="9"/>
            <rFont val="Tahoma"/>
            <charset val="134"/>
          </rPr>
          <t xml:space="preserve">fill in if any
</t>
        </r>
      </text>
    </comment>
  </commentList>
</comments>
</file>

<file path=xl/sharedStrings.xml><?xml version="1.0" encoding="utf-8"?>
<sst xmlns="http://schemas.openxmlformats.org/spreadsheetml/2006/main" count="999" uniqueCount="218">
  <si>
    <t>PURCHASE ORDER</t>
  </si>
  <si>
    <t>PO   NO:250611-1117</t>
  </si>
  <si>
    <t>PO DATE:</t>
  </si>
  <si>
    <t>BUYER:</t>
  </si>
  <si>
    <t>MOONPO DEVELOPMENT(VIETNAM) LIMITED</t>
  </si>
  <si>
    <t>ADDRESS: LOT CN-01，DONG VAN IV INDUSTRIAL ZONE,LE HO WARD,NINH BINH PROVINCE, VIET NAM</t>
  </si>
  <si>
    <t>TAX NO: 0700834811</t>
  </si>
  <si>
    <t>PIC: MR. YC WONG</t>
  </si>
  <si>
    <t>SELLER:</t>
  </si>
  <si>
    <t>MOONPO TRADING(SHENZHEN)CO.,LTD</t>
  </si>
  <si>
    <t>ADDRESS: 1F,NO.28 XIANGXING ROAD,BUYONG COMMUNITY,SHAJING STREET,BAO'AN DISTRICT,SHENZHEN CITY,CHINA.</t>
  </si>
  <si>
    <t>I. DESCRIPTIONS OF GOODS:BY OCEAN</t>
  </si>
  <si>
    <t>NO</t>
  </si>
  <si>
    <t>DESCRIPTION OF GOODS</t>
  </si>
  <si>
    <t>QUANTITY</t>
  </si>
  <si>
    <t>UNIT</t>
  </si>
  <si>
    <t>ORIGIN</t>
  </si>
  <si>
    <t>UNIT PRICE
(USD)</t>
  </si>
  <si>
    <t>AMOUNT
(USD)</t>
  </si>
  <si>
    <t>Part no</t>
  </si>
  <si>
    <t>DESC</t>
  </si>
  <si>
    <t>SPY-SP-21008-01</t>
  </si>
  <si>
    <t>STEEI  PLATE</t>
  </si>
  <si>
    <t>PCS</t>
  </si>
  <si>
    <t>CHINA</t>
  </si>
  <si>
    <t>SPY-Film-21008-01</t>
  </si>
  <si>
    <t>FILM</t>
  </si>
  <si>
    <t>1. Cargo is new 100%.</t>
  </si>
  <si>
    <t>2. Delivery terms: C&amp;F HAIPHONG</t>
  </si>
  <si>
    <t>3. Delivery time: in JUL,2025</t>
  </si>
  <si>
    <t>4. Shipping method: BY OCEAN</t>
  </si>
  <si>
    <t>5. Packing standards: Following exporting standards</t>
  </si>
  <si>
    <t>6. Payment terms: TT</t>
  </si>
  <si>
    <t>7. PO has been acknowledged and signed by 02 parties and sent via email.</t>
  </si>
  <si>
    <t>ACCEPTED BY SELLER</t>
  </si>
  <si>
    <t>BUYER</t>
  </si>
  <si>
    <t>PO   NO:250627-1115</t>
  </si>
  <si>
    <t>BOPEXTMF01A</t>
  </si>
  <si>
    <t>WAVE SOLDERING FIXTURE</t>
  </si>
  <si>
    <t>BOPEXTSF01A</t>
  </si>
  <si>
    <t>BOPEXTKF01A</t>
  </si>
  <si>
    <t>BOPMICF01A</t>
  </si>
  <si>
    <t>BOPMICF02A</t>
  </si>
  <si>
    <t>BOPMICF03A</t>
  </si>
  <si>
    <t>EXTREME(21008)</t>
  </si>
  <si>
    <t>ULTRASONIC MOLD</t>
  </si>
  <si>
    <t>SET</t>
  </si>
  <si>
    <t>PO   NO:250637-1117</t>
  </si>
  <si>
    <t>SPY-Rubber tip01-21008-01</t>
  </si>
  <si>
    <t>RUBBER TIP</t>
  </si>
  <si>
    <t>SPY-Rubber tip02-21008-02</t>
  </si>
  <si>
    <t>PO   NO:250648-1117</t>
  </si>
  <si>
    <t>SPY-FIXTURE1-21008-01</t>
  </si>
  <si>
    <t>FIXTURE</t>
  </si>
  <si>
    <t>SPY-FIXTURE2-21008-02</t>
  </si>
  <si>
    <t>SPY-21008-01</t>
  </si>
  <si>
    <t>SPRAY PAINTING MASK</t>
  </si>
  <si>
    <t>PO   NO:250663-1115</t>
  </si>
  <si>
    <t>BOPEXTR-F15</t>
  </si>
  <si>
    <t>HIT THE HOST SCREW FIXTURE</t>
  </si>
  <si>
    <t>BOPEXTR-F01</t>
  </si>
  <si>
    <t>BLUE BUTTON CLAMP</t>
  </si>
  <si>
    <t>BOPEXTR-F02</t>
  </si>
  <si>
    <t>YELLOW BUTTON CLAMP</t>
  </si>
  <si>
    <t>BOPEXTR-F03</t>
  </si>
  <si>
    <t>GREEN BUTTON HANDLE CLAMP</t>
  </si>
  <si>
    <t>BOPEXTR-F04</t>
  </si>
  <si>
    <t>GREEN BUTTON CLAMP</t>
  </si>
  <si>
    <t>BOPEXTR-F05</t>
  </si>
  <si>
    <t>LARGE  BUTTON CLAMP FOR DOUGH SHELLE</t>
  </si>
  <si>
    <t>BOPEXTR-F06</t>
  </si>
  <si>
    <t>LARGE  BUTTON CLAMP FOR BUTTOM SHELLE</t>
  </si>
  <si>
    <t>BOPEXTR-F07</t>
  </si>
  <si>
    <t>HIT THE PCB BOARD AND BASKET BUTTON FIXTURE</t>
  </si>
  <si>
    <t>BOPEXTR-F08</t>
  </si>
  <si>
    <t>INSTALL BUTTON HANDLE AND CYCLOID CLAMP</t>
  </si>
  <si>
    <t>BOPEXTR-F09</t>
  </si>
  <si>
    <t>FIXTURE FOR ASSEMBLE NUT</t>
  </si>
  <si>
    <t>BOPEXTR-F010</t>
  </si>
  <si>
    <t>FIXTURE FOR PRESSURE BATTERY CONTACT PLATE</t>
  </si>
  <si>
    <t>BOPEXTR-F11</t>
  </si>
  <si>
    <t>FIXTURE FOR THE HORN COVER</t>
  </si>
  <si>
    <t>BOPEXTR-F12</t>
  </si>
  <si>
    <t>FIXTURE FOR SOLDERING SPEAKER WIRE</t>
  </si>
  <si>
    <t>BOPEXTR-F13</t>
  </si>
  <si>
    <t>WELDING BATTERY FIXTURE</t>
  </si>
  <si>
    <t>BOPEXTR-F14</t>
  </si>
  <si>
    <t>SHELL CLAMPS</t>
  </si>
  <si>
    <t>BOPEXTR-F16</t>
  </si>
  <si>
    <t>FIXTURE FOR DATE CODE</t>
  </si>
  <si>
    <t>BOPEXTR-F17</t>
  </si>
  <si>
    <t>HIT THE BATTERY DOOR  SCREW CLAMP</t>
  </si>
  <si>
    <t>BOPEXTR-F19</t>
  </si>
  <si>
    <t>SEAL THE BOTTOM OF THE BOX</t>
  </si>
  <si>
    <t>BOPEXTR-F20</t>
  </si>
  <si>
    <t>SEAL COLOR BOX FACE FIXTURE</t>
  </si>
  <si>
    <t>BOPMIC-F01</t>
  </si>
  <si>
    <t>SOLDERING BUTTONS AND LEAD CLAMPS</t>
  </si>
  <si>
    <t>BOPMIC-F02</t>
  </si>
  <si>
    <t>BOPMIC-F03</t>
  </si>
  <si>
    <t>BLUE BUTTON FIXTURE</t>
  </si>
  <si>
    <t>BOPMIC-F04</t>
  </si>
  <si>
    <t>SPLITTING FIXTURE</t>
  </si>
  <si>
    <t>BOPMIC-F05</t>
  </si>
  <si>
    <t>BOPMIC-F06</t>
  </si>
  <si>
    <t>BOPMIC-F07</t>
  </si>
  <si>
    <t>HIT THE PCB BOARD FIXTURE</t>
  </si>
  <si>
    <t>BOPMIC-F08</t>
  </si>
  <si>
    <t>GOLD RING FIXTURE</t>
  </si>
  <si>
    <t>BOPMIC-F09</t>
  </si>
  <si>
    <t>BOPMIC-F10</t>
  </si>
  <si>
    <t>HORN AND BUTTON CLAMPS</t>
  </si>
  <si>
    <t>BOPMIC-F11</t>
  </si>
  <si>
    <t>ASSEMBLY FIXTURES</t>
  </si>
  <si>
    <t>BOPMIC-F12</t>
  </si>
  <si>
    <t>BOPMIC-F13</t>
  </si>
  <si>
    <t>BOPMIC-F14</t>
  </si>
  <si>
    <t>BEER YELLOW BALL IRON SHAFT CLAMP</t>
  </si>
  <si>
    <t>BOPMIC-F15</t>
  </si>
  <si>
    <t>HIT THE BATTERY DOOR CLAMP</t>
  </si>
  <si>
    <t>BOPMIC-F17</t>
  </si>
  <si>
    <t>PUNCH BOX HOLE FIXTURE</t>
  </si>
  <si>
    <t>BOPMIC-F18</t>
  </si>
  <si>
    <t>CABLE TIE CLAMPS</t>
  </si>
  <si>
    <t>BOPMIC-C01</t>
  </si>
  <si>
    <t>HOST TEST RECK</t>
  </si>
  <si>
    <t>BOP-IT-MICRO</t>
  </si>
  <si>
    <t>STENCIL</t>
  </si>
  <si>
    <t>COMMERCIAL INVOICE</t>
  </si>
  <si>
    <t>INVOICE NO:MPT250046</t>
  </si>
  <si>
    <t>NAME:MOONPO TRADING(SHENZHEN)CO.,LTD</t>
  </si>
  <si>
    <t>INVOICE DATE:2025-07-23</t>
  </si>
  <si>
    <t>PO NO：Below list</t>
  </si>
  <si>
    <t>PAYMENT TERMS: TT</t>
  </si>
  <si>
    <t>TELL: 0755-29698989</t>
  </si>
  <si>
    <t>DELIVERY TERMS:C&amp;F HAIPHONG</t>
  </si>
  <si>
    <t>PORT OF LOADING:SHEKOU</t>
  </si>
  <si>
    <t>NAME: MOONPO DEVELOPMENT(VIETNAM) LIMITED</t>
  </si>
  <si>
    <t>PORT OF DISCHARGE: HAIPHONG</t>
  </si>
  <si>
    <r>
      <rPr>
        <sz val="11"/>
        <color theme="1"/>
        <rFont val="宋体"/>
        <charset val="134"/>
      </rPr>
      <t>ADDRESS:</t>
    </r>
    <r>
      <rPr>
        <sz val="11"/>
        <color rgb="FF000000"/>
        <rFont val="宋体"/>
        <charset val="134"/>
      </rPr>
      <t xml:space="preserve"> LOT CN-01，DONG VAN IV INDUSTRIAL ZONE,LE HO WARD,NINH BINH PROVINCE, VIET NAM</t>
    </r>
  </si>
  <si>
    <t>PORT OF TRANSIT:</t>
  </si>
  <si>
    <t>ETD POL:2025-07-28</t>
  </si>
  <si>
    <t>TAX NUMBER: 0700834811</t>
  </si>
  <si>
    <t>ETA POD:2025-07-31</t>
  </si>
  <si>
    <t>TELL:(+84) 9885 16638, Email: ltlien@moonpo.com</t>
  </si>
  <si>
    <t>VESSEL/VOYAGE: BY OCEAN</t>
  </si>
  <si>
    <t>DESCRIPTIONS OF GOODS</t>
  </si>
  <si>
    <t>HS code</t>
  </si>
  <si>
    <t>ORIGIN OF
 GOODS</t>
  </si>
  <si>
    <t>PO NO.</t>
  </si>
  <si>
    <t>PO Line 
No.</t>
  </si>
  <si>
    <t>PART NO</t>
  </si>
  <si>
    <t>NAME</t>
  </si>
  <si>
    <t>250611-1117</t>
  </si>
  <si>
    <t>4/5</t>
  </si>
  <si>
    <t>钢板</t>
  </si>
  <si>
    <t>250648-1117</t>
  </si>
  <si>
    <t>夹具</t>
  </si>
  <si>
    <t>菲林</t>
  </si>
  <si>
    <t>250637-1117</t>
  </si>
  <si>
    <t>胶头</t>
  </si>
  <si>
    <t>喷油模</t>
  </si>
  <si>
    <t>250627-1115</t>
  </si>
  <si>
    <t>过炉治具</t>
  </si>
  <si>
    <t>超声模上下模</t>
  </si>
  <si>
    <t>250663-1115</t>
  </si>
  <si>
    <t>打主机螺丝夹具</t>
  </si>
  <si>
    <t>打蓝钮夹具</t>
  </si>
  <si>
    <t>打黄钮夹具</t>
  </si>
  <si>
    <t>打绿钮柄夹具</t>
  </si>
  <si>
    <t>打绿扭夹具</t>
  </si>
  <si>
    <t>打面壳大按钮夹具</t>
  </si>
  <si>
    <t>打底壳大按钮夹具</t>
  </si>
  <si>
    <t>打PCB板及蓝钮夹具</t>
  </si>
  <si>
    <t>装按钮板及摆线夹具</t>
  </si>
  <si>
    <t>啤螺母治具</t>
  </si>
  <si>
    <t>啤电池片模具(治具)</t>
  </si>
  <si>
    <t>打喇叭盖夹具</t>
  </si>
  <si>
    <t>焊喇叭线夹具</t>
  </si>
  <si>
    <t>焊电池线夹具</t>
  </si>
  <si>
    <t>合壳夹具</t>
  </si>
  <si>
    <t>打主机日期夹具</t>
  </si>
  <si>
    <t>打电池门螺丝夹具</t>
  </si>
  <si>
    <t>封彩盒底夹具</t>
  </si>
  <si>
    <t>封彩盒面夹具</t>
  </si>
  <si>
    <t>焊按钮及引线夹具</t>
  </si>
  <si>
    <t>打黄扭夹具</t>
  </si>
  <si>
    <t>打蓝扭夹具</t>
  </si>
  <si>
    <t>分板夹具</t>
  </si>
  <si>
    <t>打PCB板夹具</t>
  </si>
  <si>
    <t>打金圈夹具</t>
  </si>
  <si>
    <t>打喇叭及按钮夹具</t>
  </si>
  <si>
    <t>装配件夹具</t>
  </si>
  <si>
    <t>啤黄球铁轴夹具</t>
  </si>
  <si>
    <t>打电池门夹具</t>
  </si>
  <si>
    <t>冲彩盒孔治具</t>
  </si>
  <si>
    <t>扎扎带夹具</t>
  </si>
  <si>
    <t>主机测试架</t>
  </si>
  <si>
    <t>钢网</t>
  </si>
  <si>
    <t>TOTAL:</t>
  </si>
  <si>
    <t>PACKING LIST</t>
  </si>
  <si>
    <t>QUANTITY OF GOODS</t>
  </si>
  <si>
    <t>NO OF CARTON</t>
  </si>
  <si>
    <t>G/W
(KG)</t>
  </si>
  <si>
    <t>N/W
(KG)</t>
  </si>
  <si>
    <t>M3</t>
  </si>
  <si>
    <t>SPY02</t>
  </si>
  <si>
    <t>SPY01</t>
  </si>
  <si>
    <t>SPY03</t>
  </si>
  <si>
    <t>Q5</t>
  </si>
  <si>
    <t>Q6</t>
  </si>
  <si>
    <t>Q7</t>
  </si>
  <si>
    <t>Q8</t>
  </si>
  <si>
    <t>Q1</t>
  </si>
  <si>
    <t>Q2</t>
  </si>
  <si>
    <t>Q3</t>
  </si>
  <si>
    <t>Q4</t>
  </si>
  <si>
    <t>NO OF PACKAGE: 11 PACKAGE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</si>
</sst>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8" formatCode="_ * #,##0_ ;_ * \-#,##0_ ;_ * &quot;-&quot;_ ;_ @_ "/>
    <numFmt numFmtId="169" formatCode="0.00_ "/>
    <numFmt numFmtId="170" formatCode="0_ "/>
    <numFmt numFmtId="171" formatCode="0.0000_ "/>
  </numFmts>
  <fonts count="40">
    <font>
      <sz val="11"/>
      <color theme="1"/>
      <name val="Calibri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b/>
      <sz val="20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1"/>
      <color rgb="FFFF0000"/>
      <name val="Arial"/>
      <charset val="134"/>
    </font>
    <font>
      <b/>
      <sz val="14"/>
      <name val="宋体"/>
      <charset val="134"/>
    </font>
    <font>
      <sz val="11"/>
      <color theme="1"/>
      <name val="仿宋"/>
      <charset val="134"/>
    </font>
    <font>
      <sz val="11"/>
      <name val="仿宋"/>
      <charset val="134"/>
    </font>
    <font>
      <sz val="11"/>
      <color theme="1"/>
      <name val="宋体"/>
      <charset val="134"/>
    </font>
    <font>
      <b/>
      <sz val="20"/>
      <color theme="1"/>
      <name val="宋体"/>
      <charset val="134"/>
    </font>
    <font>
      <sz val="12"/>
      <color theme="1"/>
      <name val="宋体"/>
      <charset val="134"/>
    </font>
    <font>
      <b/>
      <sz val="11"/>
      <color theme="1"/>
      <name val="宋体"/>
      <charset val="134"/>
    </font>
    <font>
      <u/>
      <sz val="11"/>
      <name val="宋体"/>
      <charset val="134"/>
    </font>
    <font>
      <b/>
      <sz val="11"/>
      <name val="仿宋"/>
      <charset val="134"/>
    </font>
    <font>
      <b/>
      <sz val="11"/>
      <color theme="1"/>
      <name val="仿宋"/>
      <charset val="134"/>
    </font>
    <font>
      <b/>
      <sz val="12"/>
      <color rgb="FF000000"/>
      <name val="宋体"/>
      <charset val="134"/>
    </font>
    <font>
      <b/>
      <sz val="14"/>
      <name val="仿宋"/>
      <charset val="134"/>
    </font>
    <font>
      <b/>
      <sz val="14"/>
      <color theme="1"/>
      <name val="仿宋"/>
      <charset val="134"/>
    </font>
    <font>
      <b/>
      <sz val="14"/>
      <color theme="1"/>
      <name val="宋体"/>
      <charset val="134"/>
    </font>
    <font>
      <sz val="10"/>
      <color theme="1"/>
      <name val="宋体"/>
      <charset val="134"/>
    </font>
    <font>
      <b/>
      <sz val="18"/>
      <color theme="1"/>
      <name val="宋体"/>
      <charset val="134"/>
    </font>
    <font>
      <sz val="12"/>
      <name val="宋体"/>
      <charset val="134"/>
    </font>
    <font>
      <b/>
      <sz val="12"/>
      <color theme="1"/>
      <name val="宋体"/>
      <charset val="134"/>
    </font>
    <font>
      <sz val="11"/>
      <color rgb="FF0000FF"/>
      <name val="宋体"/>
      <charset val="134"/>
    </font>
    <font>
      <sz val="12"/>
      <color rgb="FFFF0000"/>
      <name val="宋体"/>
      <charset val="134"/>
    </font>
    <font>
      <sz val="14"/>
      <name val="宋体"/>
      <charset val="134"/>
    </font>
    <font>
      <b/>
      <sz val="10"/>
      <color theme="1"/>
      <name val="宋体"/>
      <charset val="134"/>
    </font>
    <font>
      <sz val="11"/>
      <name val="돋움"/>
      <charset val="134"/>
    </font>
    <font>
      <sz val="10"/>
      <name val="ARIAL"/>
      <charset val="134"/>
    </font>
    <font>
      <sz val="12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indexed="8"/>
      <name val="맑은 고딕"/>
      <charset val="134"/>
    </font>
    <font>
      <sz val="11"/>
      <color rgb="FF000000"/>
      <name val="宋体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0">
    <xf numFmtId="0" fontId="0" fillId="0" borderId="0"/>
    <xf numFmtId="0" fontId="35" fillId="0" borderId="0" applyNumberFormat="0" applyFill="0" applyBorder="0" applyAlignment="0" applyProtection="0"/>
    <xf numFmtId="168" fontId="34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164" fontId="32" fillId="0" borderId="0" applyFont="0" applyFill="0" applyBorder="0" applyAlignment="0" applyProtection="0"/>
    <xf numFmtId="0" fontId="33" fillId="0" borderId="0">
      <alignment vertical="center"/>
    </xf>
    <xf numFmtId="0" fontId="32" fillId="0" borderId="0"/>
    <xf numFmtId="0" fontId="34" fillId="0" borderId="0">
      <alignment vertical="center"/>
    </xf>
    <xf numFmtId="0" fontId="33" fillId="0" borderId="0">
      <alignment vertical="center"/>
    </xf>
    <xf numFmtId="0" fontId="39" fillId="0" borderId="0"/>
    <xf numFmtId="164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</cellStyleXfs>
  <cellXfs count="29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9" fontId="2" fillId="0" borderId="0" xfId="0" applyNumberFormat="1" applyFont="1" applyAlignment="1">
      <alignment horizontal="right"/>
    </xf>
    <xf numFmtId="0" fontId="2" fillId="0" borderId="0" xfId="0" applyFont="1"/>
    <xf numFmtId="0" fontId="6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1" fillId="0" borderId="7" xfId="0" applyFont="1" applyBorder="1"/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/>
    </xf>
    <xf numFmtId="0" fontId="8" fillId="0" borderId="9" xfId="9" applyFont="1" applyBorder="1" applyAlignment="1">
      <alignment horizontal="left" wrapText="1"/>
    </xf>
    <xf numFmtId="0" fontId="7" fillId="0" borderId="9" xfId="0" applyFont="1" applyBorder="1" applyAlignment="1">
      <alignment horizontal="left"/>
    </xf>
    <xf numFmtId="0" fontId="7" fillId="0" borderId="9" xfId="0" applyFont="1" applyBorder="1" applyAlignment="1">
      <alignment horizontal="left" wrapText="1"/>
    </xf>
    <xf numFmtId="169" fontId="6" fillId="0" borderId="4" xfId="0" applyNumberFormat="1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169" fontId="1" fillId="0" borderId="0" xfId="0" applyNumberFormat="1" applyFont="1" applyAlignment="1">
      <alignment vertical="center"/>
    </xf>
    <xf numFmtId="0" fontId="1" fillId="0" borderId="22" xfId="0" applyFont="1" applyBorder="1" applyAlignment="1">
      <alignment vertical="center"/>
    </xf>
    <xf numFmtId="169" fontId="6" fillId="0" borderId="0" xfId="0" applyNumberFormat="1" applyFont="1" applyAlignment="1">
      <alignment vertical="center"/>
    </xf>
    <xf numFmtId="0" fontId="6" fillId="0" borderId="22" xfId="0" applyFont="1" applyBorder="1" applyAlignment="1">
      <alignment vertical="center"/>
    </xf>
    <xf numFmtId="169" fontId="1" fillId="0" borderId="0" xfId="0" applyNumberFormat="1" applyFont="1"/>
    <xf numFmtId="0" fontId="1" fillId="0" borderId="22" xfId="0" applyFont="1" applyBorder="1"/>
    <xf numFmtId="169" fontId="7" fillId="0" borderId="9" xfId="0" applyNumberFormat="1" applyFont="1" applyBorder="1" applyAlignment="1">
      <alignment horizontal="left"/>
    </xf>
    <xf numFmtId="0" fontId="7" fillId="0" borderId="23" xfId="0" applyFont="1" applyBorder="1" applyAlignment="1">
      <alignment horizontal="left" wrapText="1"/>
    </xf>
    <xf numFmtId="170" fontId="5" fillId="0" borderId="9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0" fontId="9" fillId="0" borderId="6" xfId="0" applyFont="1" applyBorder="1"/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6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5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169" fontId="5" fillId="0" borderId="9" xfId="0" applyNumberFormat="1" applyFont="1" applyBorder="1" applyAlignment="1">
      <alignment horizontal="right" vertical="center"/>
    </xf>
    <xf numFmtId="0" fontId="6" fillId="0" borderId="23" xfId="0" applyFont="1" applyBorder="1" applyAlignment="1">
      <alignment horizontal="center" vertical="center" wrapText="1"/>
    </xf>
    <xf numFmtId="169" fontId="4" fillId="0" borderId="0" xfId="0" applyNumberFormat="1" applyFont="1" applyAlignment="1">
      <alignment horizontal="right" vertical="center" wrapText="1"/>
    </xf>
    <xf numFmtId="0" fontId="4" fillId="0" borderId="21" xfId="0" applyFont="1" applyBorder="1" applyAlignment="1">
      <alignment horizontal="center" vertical="center"/>
    </xf>
    <xf numFmtId="0" fontId="2" fillId="0" borderId="22" xfId="0" applyFont="1" applyBorder="1"/>
    <xf numFmtId="169" fontId="2" fillId="0" borderId="25" xfId="0" applyNumberFormat="1" applyFont="1" applyBorder="1" applyAlignment="1">
      <alignment horizontal="right"/>
    </xf>
    <xf numFmtId="0" fontId="2" fillId="0" borderId="26" xfId="0" applyFont="1" applyBorder="1"/>
    <xf numFmtId="0" fontId="11" fillId="0" borderId="0" xfId="0" applyFont="1"/>
    <xf numFmtId="0" fontId="11" fillId="0" borderId="0" xfId="0" applyFont="1" applyAlignment="1">
      <alignment vertical="center"/>
    </xf>
    <xf numFmtId="0" fontId="7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0" fontId="1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171" fontId="13" fillId="0" borderId="0" xfId="0" applyNumberFormat="1" applyFont="1" applyAlignment="1">
      <alignment horizontal="right"/>
    </xf>
    <xf numFmtId="0" fontId="15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29" xfId="0" applyFont="1" applyBorder="1" applyAlignment="1">
      <alignment vertical="center" wrapText="1"/>
    </xf>
    <xf numFmtId="0" fontId="13" fillId="0" borderId="14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0" fontId="1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vertical="center" wrapText="1"/>
    </xf>
    <xf numFmtId="0" fontId="13" fillId="0" borderId="29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14" xfId="0" applyFont="1" applyBorder="1" applyAlignment="1">
      <alignment horizontal="right" vertical="center"/>
    </xf>
    <xf numFmtId="0" fontId="17" fillId="0" borderId="14" xfId="1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/>
    </xf>
    <xf numFmtId="0" fontId="8" fillId="0" borderId="11" xfId="9" applyFont="1" applyBorder="1" applyAlignment="1">
      <alignment horizontal="left" wrapText="1"/>
    </xf>
    <xf numFmtId="0" fontId="1" fillId="0" borderId="34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 wrapText="1"/>
    </xf>
    <xf numFmtId="0" fontId="1" fillId="0" borderId="15" xfId="0" applyFont="1" applyBorder="1" applyAlignment="1">
      <alignment horizontal="right" vertical="center"/>
    </xf>
    <xf numFmtId="171" fontId="8" fillId="0" borderId="19" xfId="9" applyNumberFormat="1" applyFont="1" applyBorder="1" applyAlignment="1">
      <alignment horizontal="right" wrapText="1"/>
    </xf>
    <xf numFmtId="171" fontId="7" fillId="0" borderId="36" xfId="0" applyNumberFormat="1" applyFont="1" applyBorder="1" applyAlignment="1">
      <alignment horizontal="right"/>
    </xf>
    <xf numFmtId="0" fontId="11" fillId="0" borderId="6" xfId="0" applyFont="1" applyBorder="1"/>
    <xf numFmtId="0" fontId="12" fillId="0" borderId="0" xfId="0" applyFont="1" applyAlignment="1">
      <alignment horizontal="center"/>
    </xf>
    <xf numFmtId="0" fontId="13" fillId="0" borderId="6" xfId="0" applyFont="1" applyBorder="1"/>
    <xf numFmtId="0" fontId="20" fillId="0" borderId="0" xfId="0" applyFont="1"/>
    <xf numFmtId="0" fontId="13" fillId="0" borderId="24" xfId="0" applyFont="1" applyBorder="1"/>
    <xf numFmtId="0" fontId="13" fillId="0" borderId="25" xfId="0" applyFont="1" applyBorder="1"/>
    <xf numFmtId="0" fontId="6" fillId="0" borderId="9" xfId="0" applyFont="1" applyBorder="1" applyAlignment="1">
      <alignment horizontal="center"/>
    </xf>
    <xf numFmtId="171" fontId="6" fillId="0" borderId="9" xfId="0" applyNumberFormat="1" applyFont="1" applyBorder="1" applyAlignment="1">
      <alignment horizontal="center"/>
    </xf>
    <xf numFmtId="171" fontId="6" fillId="0" borderId="36" xfId="0" applyNumberFormat="1" applyFont="1" applyBorder="1" applyAlignment="1">
      <alignment horizontal="right"/>
    </xf>
    <xf numFmtId="0" fontId="21" fillId="0" borderId="4" xfId="0" applyFont="1" applyBorder="1" applyAlignment="1">
      <alignment horizontal="right" vertical="center" wrapText="1"/>
    </xf>
    <xf numFmtId="0" fontId="22" fillId="0" borderId="4" xfId="0" applyFont="1" applyBorder="1" applyAlignment="1">
      <alignment vertical="center" wrapText="1"/>
    </xf>
    <xf numFmtId="171" fontId="22" fillId="0" borderId="4" xfId="0" applyNumberFormat="1" applyFont="1" applyBorder="1" applyAlignment="1">
      <alignment horizontal="right" vertical="center" wrapText="1"/>
    </xf>
    <xf numFmtId="171" fontId="22" fillId="0" borderId="22" xfId="0" applyNumberFormat="1" applyFont="1" applyBorder="1" applyAlignment="1">
      <alignment horizontal="right" vertical="center" wrapText="1"/>
    </xf>
    <xf numFmtId="0" fontId="21" fillId="0" borderId="0" xfId="0" applyFont="1" applyAlignment="1">
      <alignment horizontal="right" vertical="center" wrapText="1"/>
    </xf>
    <xf numFmtId="0" fontId="22" fillId="0" borderId="0" xfId="0" applyFont="1" applyAlignment="1">
      <alignment horizontal="center" vertical="center" wrapText="1"/>
    </xf>
    <xf numFmtId="171" fontId="22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23" fillId="0" borderId="0" xfId="0" applyFont="1" applyAlignment="1">
      <alignment horizontal="center" vertical="center" wrapText="1"/>
    </xf>
    <xf numFmtId="171" fontId="23" fillId="0" borderId="0" xfId="0" applyNumberFormat="1" applyFont="1" applyAlignment="1">
      <alignment horizontal="right" vertical="center" wrapText="1"/>
    </xf>
    <xf numFmtId="171" fontId="23" fillId="0" borderId="22" xfId="0" applyNumberFormat="1" applyFont="1" applyBorder="1" applyAlignment="1">
      <alignment horizontal="right" vertical="center" wrapText="1"/>
    </xf>
    <xf numFmtId="0" fontId="10" fillId="0" borderId="25" xfId="0" applyFont="1" applyBorder="1" applyAlignment="1">
      <alignment horizontal="right" vertical="center" wrapText="1"/>
    </xf>
    <xf numFmtId="0" fontId="23" fillId="0" borderId="25" xfId="0" applyFont="1" applyBorder="1" applyAlignment="1">
      <alignment horizontal="center" vertical="center" wrapText="1"/>
    </xf>
    <xf numFmtId="171" fontId="23" fillId="0" borderId="25" xfId="0" applyNumberFormat="1" applyFont="1" applyBorder="1" applyAlignment="1">
      <alignment horizontal="right" vertical="center" wrapText="1"/>
    </xf>
    <xf numFmtId="171" fontId="23" fillId="0" borderId="26" xfId="0" applyNumberFormat="1" applyFont="1" applyBorder="1" applyAlignment="1">
      <alignment horizontal="right" vertical="center" wrapText="1"/>
    </xf>
    <xf numFmtId="0" fontId="13" fillId="0" borderId="0" xfId="9" applyFont="1"/>
    <xf numFmtId="0" fontId="13" fillId="0" borderId="0" xfId="9" applyFont="1" applyAlignment="1">
      <alignment vertical="center"/>
    </xf>
    <xf numFmtId="0" fontId="13" fillId="0" borderId="0" xfId="9" applyFont="1" applyAlignment="1">
      <alignment horizontal="left"/>
    </xf>
    <xf numFmtId="0" fontId="1" fillId="0" borderId="0" xfId="9" applyFont="1"/>
    <xf numFmtId="0" fontId="13" fillId="0" borderId="0" xfId="9" applyFont="1" applyAlignment="1">
      <alignment horizontal="center"/>
    </xf>
    <xf numFmtId="169" fontId="13" fillId="0" borderId="0" xfId="9" applyNumberFormat="1" applyFont="1" applyAlignment="1">
      <alignment horizontal="right"/>
    </xf>
    <xf numFmtId="171" fontId="24" fillId="0" borderId="0" xfId="9" applyNumberFormat="1" applyFont="1" applyAlignment="1">
      <alignment horizontal="right"/>
    </xf>
    <xf numFmtId="0" fontId="15" fillId="0" borderId="6" xfId="9" applyFont="1" applyBorder="1"/>
    <xf numFmtId="0" fontId="15" fillId="0" borderId="0" xfId="9" applyFont="1"/>
    <xf numFmtId="0" fontId="15" fillId="0" borderId="0" xfId="9" applyFont="1" applyAlignment="1">
      <alignment horizontal="left"/>
    </xf>
    <xf numFmtId="0" fontId="26" fillId="0" borderId="0" xfId="9" applyFont="1"/>
    <xf numFmtId="0" fontId="15" fillId="2" borderId="0" xfId="9" applyFont="1" applyFill="1" applyAlignment="1">
      <alignment horizontal="left"/>
    </xf>
    <xf numFmtId="0" fontId="13" fillId="2" borderId="0" xfId="9" applyFont="1" applyFill="1" applyAlignment="1">
      <alignment horizontal="left" vertical="center"/>
    </xf>
    <xf numFmtId="169" fontId="13" fillId="2" borderId="0" xfId="9" applyNumberFormat="1" applyFont="1" applyFill="1" applyAlignment="1">
      <alignment horizontal="right" vertical="center"/>
    </xf>
    <xf numFmtId="171" fontId="24" fillId="0" borderId="22" xfId="9" applyNumberFormat="1" applyFont="1" applyBorder="1" applyAlignment="1">
      <alignment horizontal="right" vertical="center"/>
    </xf>
    <xf numFmtId="14" fontId="13" fillId="2" borderId="0" xfId="9" applyNumberFormat="1" applyFont="1" applyFill="1" applyAlignment="1">
      <alignment horizontal="left" vertical="center"/>
    </xf>
    <xf numFmtId="0" fontId="27" fillId="0" borderId="3" xfId="9" applyFont="1" applyBorder="1"/>
    <xf numFmtId="0" fontId="27" fillId="0" borderId="4" xfId="9" applyFont="1" applyBorder="1"/>
    <xf numFmtId="0" fontId="27" fillId="0" borderId="4" xfId="9" applyFont="1" applyBorder="1" applyAlignment="1">
      <alignment horizontal="left"/>
    </xf>
    <xf numFmtId="0" fontId="26" fillId="0" borderId="4" xfId="9" applyFont="1" applyBorder="1"/>
    <xf numFmtId="0" fontId="15" fillId="0" borderId="4" xfId="9" applyFont="1" applyBorder="1" applyAlignment="1">
      <alignment horizontal="center"/>
    </xf>
    <xf numFmtId="169" fontId="15" fillId="0" borderId="4" xfId="9" applyNumberFormat="1" applyFont="1" applyBorder="1" applyAlignment="1">
      <alignment horizontal="right"/>
    </xf>
    <xf numFmtId="171" fontId="24" fillId="0" borderId="21" xfId="9" applyNumberFormat="1" applyFont="1" applyBorder="1" applyAlignment="1">
      <alignment horizontal="right"/>
    </xf>
    <xf numFmtId="0" fontId="15" fillId="0" borderId="6" xfId="9" applyFont="1" applyBorder="1" applyAlignment="1">
      <alignment vertical="center"/>
    </xf>
    <xf numFmtId="0" fontId="15" fillId="0" borderId="0" xfId="9" applyFont="1" applyAlignment="1">
      <alignment horizontal="center"/>
    </xf>
    <xf numFmtId="169" fontId="15" fillId="0" borderId="0" xfId="9" applyNumberFormat="1" applyFont="1" applyAlignment="1">
      <alignment horizontal="right"/>
    </xf>
    <xf numFmtId="171" fontId="24" fillId="0" borderId="22" xfId="9" applyNumberFormat="1" applyFont="1" applyBorder="1" applyAlignment="1">
      <alignment horizontal="right"/>
    </xf>
    <xf numFmtId="0" fontId="15" fillId="0" borderId="29" xfId="9" applyFont="1" applyBorder="1"/>
    <xf numFmtId="0" fontId="15" fillId="0" borderId="14" xfId="9" applyFont="1" applyBorder="1"/>
    <xf numFmtId="0" fontId="15" fillId="0" borderId="14" xfId="9" applyFont="1" applyBorder="1" applyAlignment="1">
      <alignment horizontal="left"/>
    </xf>
    <xf numFmtId="0" fontId="26" fillId="0" borderId="14" xfId="9" applyFont="1" applyBorder="1"/>
    <xf numFmtId="0" fontId="15" fillId="0" borderId="14" xfId="9" applyFont="1" applyBorder="1" applyAlignment="1">
      <alignment horizontal="center"/>
    </xf>
    <xf numFmtId="169" fontId="15" fillId="0" borderId="14" xfId="9" applyNumberFormat="1" applyFont="1" applyBorder="1" applyAlignment="1">
      <alignment horizontal="right"/>
    </xf>
    <xf numFmtId="171" fontId="24" fillId="0" borderId="38" xfId="9" applyNumberFormat="1" applyFont="1" applyBorder="1" applyAlignment="1">
      <alignment horizontal="right"/>
    </xf>
    <xf numFmtId="0" fontId="27" fillId="0" borderId="3" xfId="9" applyFont="1" applyBorder="1" applyAlignment="1">
      <alignment vertical="center"/>
    </xf>
    <xf numFmtId="0" fontId="27" fillId="0" borderId="4" xfId="9" applyFont="1" applyBorder="1" applyAlignment="1">
      <alignment vertical="center"/>
    </xf>
    <xf numFmtId="0" fontId="27" fillId="0" borderId="4" xfId="9" applyFont="1" applyBorder="1" applyAlignment="1">
      <alignment horizontal="left" vertical="center"/>
    </xf>
    <xf numFmtId="0" fontId="26" fillId="0" borderId="4" xfId="9" applyFont="1" applyBorder="1" applyAlignment="1">
      <alignment vertical="center"/>
    </xf>
    <xf numFmtId="0" fontId="15" fillId="0" borderId="4" xfId="9" applyFont="1" applyBorder="1" applyAlignment="1">
      <alignment horizontal="center" vertical="center"/>
    </xf>
    <xf numFmtId="169" fontId="15" fillId="0" borderId="4" xfId="9" applyNumberFormat="1" applyFont="1" applyBorder="1" applyAlignment="1">
      <alignment horizontal="right" vertical="center"/>
    </xf>
    <xf numFmtId="171" fontId="24" fillId="0" borderId="21" xfId="9" applyNumberFormat="1" applyFont="1" applyBorder="1" applyAlignment="1">
      <alignment horizontal="right" vertical="center"/>
    </xf>
    <xf numFmtId="0" fontId="15" fillId="0" borderId="29" xfId="9" applyFont="1" applyBorder="1" applyAlignment="1">
      <alignment vertical="center"/>
    </xf>
    <xf numFmtId="0" fontId="27" fillId="0" borderId="6" xfId="9" applyFont="1" applyBorder="1" applyAlignment="1">
      <alignment vertical="center"/>
    </xf>
    <xf numFmtId="0" fontId="15" fillId="0" borderId="0" xfId="9" applyFont="1" applyAlignment="1">
      <alignment vertical="center"/>
    </xf>
    <xf numFmtId="0" fontId="15" fillId="0" borderId="0" xfId="9" applyFont="1" applyAlignment="1">
      <alignment horizontal="left" vertical="center"/>
    </xf>
    <xf numFmtId="0" fontId="26" fillId="0" borderId="0" xfId="9" applyFont="1" applyAlignment="1">
      <alignment vertical="center"/>
    </xf>
    <xf numFmtId="0" fontId="15" fillId="0" borderId="0" xfId="9" applyFont="1" applyAlignment="1">
      <alignment horizontal="center" vertical="center"/>
    </xf>
    <xf numFmtId="169" fontId="15" fillId="0" borderId="0" xfId="9" applyNumberFormat="1" applyFont="1" applyAlignment="1">
      <alignment horizontal="right" vertical="center"/>
    </xf>
    <xf numFmtId="0" fontId="27" fillId="0" borderId="9" xfId="9" applyFont="1" applyBorder="1" applyAlignment="1">
      <alignment horizontal="center" vertical="center" wrapText="1"/>
    </xf>
    <xf numFmtId="0" fontId="27" fillId="0" borderId="11" xfId="9" applyFont="1" applyBorder="1" applyAlignment="1">
      <alignment horizontal="center" vertical="center" wrapText="1"/>
    </xf>
    <xf numFmtId="0" fontId="8" fillId="0" borderId="18" xfId="9" applyFont="1" applyBorder="1" applyAlignment="1">
      <alignment horizontal="left" vertical="center"/>
    </xf>
    <xf numFmtId="0" fontId="8" fillId="0" borderId="10" xfId="9" applyFont="1" applyBorder="1" applyAlignment="1">
      <alignment horizontal="left" vertical="center" wrapText="1"/>
    </xf>
    <xf numFmtId="0" fontId="8" fillId="0" borderId="9" xfId="9" applyFont="1" applyBorder="1" applyAlignment="1">
      <alignment horizontal="left" vertical="center" wrapText="1"/>
    </xf>
    <xf numFmtId="0" fontId="8" fillId="0" borderId="19" xfId="9" applyFont="1" applyBorder="1" applyAlignment="1">
      <alignment horizontal="left" vertical="center"/>
    </xf>
    <xf numFmtId="0" fontId="8" fillId="0" borderId="9" xfId="9" applyFont="1" applyBorder="1" applyAlignment="1">
      <alignment horizontal="right" vertical="center" wrapText="1"/>
    </xf>
    <xf numFmtId="171" fontId="8" fillId="0" borderId="40" xfId="9" applyNumberFormat="1" applyFont="1" applyBorder="1" applyAlignment="1">
      <alignment horizontal="right" vertical="center" wrapText="1"/>
    </xf>
    <xf numFmtId="0" fontId="8" fillId="0" borderId="11" xfId="9" applyFont="1" applyBorder="1" applyAlignment="1">
      <alignment horizontal="left" vertical="center" wrapText="1"/>
    </xf>
    <xf numFmtId="0" fontId="8" fillId="0" borderId="9" xfId="9" applyFont="1" applyBorder="1" applyAlignment="1">
      <alignment horizontal="center" vertical="center"/>
    </xf>
    <xf numFmtId="0" fontId="5" fillId="0" borderId="9" xfId="9" applyFont="1" applyBorder="1" applyAlignment="1">
      <alignment horizontal="center" vertical="center"/>
    </xf>
    <xf numFmtId="0" fontId="27" fillId="0" borderId="9" xfId="9" applyFont="1" applyBorder="1" applyAlignment="1">
      <alignment horizontal="center" vertical="center"/>
    </xf>
    <xf numFmtId="4" fontId="27" fillId="0" borderId="9" xfId="9" applyNumberFormat="1" applyFont="1" applyBorder="1" applyAlignment="1">
      <alignment horizontal="center" vertical="center"/>
    </xf>
    <xf numFmtId="169" fontId="28" fillId="0" borderId="9" xfId="0" applyNumberFormat="1" applyFont="1" applyBorder="1" applyAlignment="1">
      <alignment horizontal="right" vertical="center"/>
    </xf>
    <xf numFmtId="0" fontId="8" fillId="0" borderId="0" xfId="9" applyFont="1" applyAlignment="1">
      <alignment horizontal="center" vertical="center"/>
    </xf>
    <xf numFmtId="0" fontId="29" fillId="0" borderId="0" xfId="9" applyFont="1"/>
    <xf numFmtId="0" fontId="30" fillId="0" borderId="0" xfId="9" applyFont="1"/>
    <xf numFmtId="0" fontId="15" fillId="0" borderId="24" xfId="9" applyFont="1" applyBorder="1"/>
    <xf numFmtId="0" fontId="15" fillId="0" borderId="25" xfId="9" applyFont="1" applyBorder="1"/>
    <xf numFmtId="0" fontId="15" fillId="0" borderId="25" xfId="9" applyFont="1" applyBorder="1" applyAlignment="1">
      <alignment horizontal="left"/>
    </xf>
    <xf numFmtId="0" fontId="26" fillId="0" borderId="25" xfId="9" applyFont="1" applyBorder="1"/>
    <xf numFmtId="0" fontId="15" fillId="0" borderId="25" xfId="9" applyFont="1" applyBorder="1" applyAlignment="1">
      <alignment horizontal="center"/>
    </xf>
    <xf numFmtId="169" fontId="15" fillId="0" borderId="25" xfId="9" applyNumberFormat="1" applyFont="1" applyBorder="1" applyAlignment="1">
      <alignment horizontal="right"/>
    </xf>
    <xf numFmtId="171" fontId="24" fillId="0" borderId="26" xfId="9" applyNumberFormat="1" applyFont="1" applyBorder="1" applyAlignment="1">
      <alignment horizontal="right"/>
    </xf>
    <xf numFmtId="0" fontId="8" fillId="0" borderId="32" xfId="9" applyFont="1" applyBorder="1" applyAlignment="1">
      <alignment horizontal="left" vertical="center" wrapText="1"/>
    </xf>
    <xf numFmtId="0" fontId="8" fillId="0" borderId="9" xfId="9" applyFont="1" applyBorder="1" applyAlignment="1">
      <alignment horizontal="left" vertical="center"/>
    </xf>
    <xf numFmtId="0" fontId="25" fillId="0" borderId="1" xfId="9" applyFont="1" applyBorder="1" applyAlignment="1">
      <alignment horizontal="center" vertical="center"/>
    </xf>
    <xf numFmtId="0" fontId="25" fillId="0" borderId="2" xfId="9" applyFont="1" applyBorder="1" applyAlignment="1">
      <alignment horizontal="center" vertical="center"/>
    </xf>
    <xf numFmtId="0" fontId="25" fillId="0" borderId="20" xfId="9" applyFont="1" applyBorder="1" applyAlignment="1">
      <alignment horizontal="center" vertical="center"/>
    </xf>
    <xf numFmtId="0" fontId="15" fillId="0" borderId="0" xfId="9" applyFont="1" applyAlignment="1">
      <alignment horizontal="left" vertical="center" wrapText="1"/>
    </xf>
    <xf numFmtId="0" fontId="26" fillId="0" borderId="0" xfId="9" applyFont="1" applyAlignment="1">
      <alignment horizontal="left" vertical="center" wrapText="1"/>
    </xf>
    <xf numFmtId="0" fontId="15" fillId="0" borderId="0" xfId="9" applyFont="1" applyAlignment="1">
      <alignment horizontal="center" vertical="center" wrapText="1"/>
    </xf>
    <xf numFmtId="169" fontId="15" fillId="0" borderId="0" xfId="9" applyNumberFormat="1" applyFont="1" applyAlignment="1">
      <alignment horizontal="right" vertical="center" wrapText="1"/>
    </xf>
    <xf numFmtId="171" fontId="24" fillId="0" borderId="22" xfId="9" applyNumberFormat="1" applyFont="1" applyBorder="1" applyAlignment="1">
      <alignment horizontal="right" vertical="center" wrapText="1"/>
    </xf>
    <xf numFmtId="0" fontId="15" fillId="0" borderId="14" xfId="9" applyFont="1" applyBorder="1" applyAlignment="1">
      <alignment horizontal="left" vertical="center" wrapText="1"/>
    </xf>
    <xf numFmtId="0" fontId="26" fillId="0" borderId="14" xfId="9" applyFont="1" applyBorder="1" applyAlignment="1">
      <alignment horizontal="left" vertical="center" wrapText="1"/>
    </xf>
    <xf numFmtId="0" fontId="15" fillId="0" borderId="14" xfId="9" applyFont="1" applyBorder="1" applyAlignment="1">
      <alignment horizontal="center" vertical="center" wrapText="1"/>
    </xf>
    <xf numFmtId="169" fontId="15" fillId="0" borderId="14" xfId="9" applyNumberFormat="1" applyFont="1" applyBorder="1" applyAlignment="1">
      <alignment horizontal="right" vertical="center" wrapText="1"/>
    </xf>
    <xf numFmtId="171" fontId="24" fillId="0" borderId="38" xfId="9" applyNumberFormat="1" applyFont="1" applyBorder="1" applyAlignment="1">
      <alignment horizontal="right" vertical="center" wrapText="1"/>
    </xf>
    <xf numFmtId="0" fontId="27" fillId="0" borderId="10" xfId="9" applyFont="1" applyBorder="1" applyAlignment="1">
      <alignment horizontal="center" vertical="center" wrapText="1"/>
    </xf>
    <xf numFmtId="0" fontId="27" fillId="0" borderId="11" xfId="9" applyFont="1" applyBorder="1" applyAlignment="1">
      <alignment horizontal="left" vertical="center" wrapText="1"/>
    </xf>
    <xf numFmtId="0" fontId="23" fillId="0" borderId="6" xfId="9" applyFont="1" applyBorder="1" applyAlignment="1">
      <alignment horizontal="center"/>
    </xf>
    <xf numFmtId="0" fontId="23" fillId="0" borderId="0" xfId="9" applyFont="1" applyAlignment="1">
      <alignment horizontal="center"/>
    </xf>
    <xf numFmtId="0" fontId="23" fillId="0" borderId="0" xfId="9" applyFont="1" applyAlignment="1">
      <alignment horizontal="left"/>
    </xf>
    <xf numFmtId="169" fontId="23" fillId="0" borderId="0" xfId="9" applyNumberFormat="1" applyFont="1" applyAlignment="1">
      <alignment horizontal="right"/>
    </xf>
    <xf numFmtId="171" fontId="31" fillId="0" borderId="22" xfId="9" applyNumberFormat="1" applyFont="1" applyBorder="1" applyAlignment="1">
      <alignment horizontal="right"/>
    </xf>
    <xf numFmtId="0" fontId="27" fillId="0" borderId="31" xfId="9" applyFont="1" applyBorder="1" applyAlignment="1">
      <alignment horizontal="center" vertical="center"/>
    </xf>
    <xf numFmtId="0" fontId="27" fillId="0" borderId="18" xfId="9" applyFont="1" applyBorder="1" applyAlignment="1">
      <alignment horizontal="center" vertical="center"/>
    </xf>
    <xf numFmtId="0" fontId="5" fillId="0" borderId="17" xfId="9" applyFont="1" applyBorder="1" applyAlignment="1">
      <alignment horizontal="center" vertical="center"/>
    </xf>
    <xf numFmtId="0" fontId="5" fillId="0" borderId="19" xfId="9" applyFont="1" applyBorder="1" applyAlignment="1">
      <alignment horizontal="center" vertical="center"/>
    </xf>
    <xf numFmtId="0" fontId="27" fillId="0" borderId="17" xfId="9" applyFont="1" applyBorder="1" applyAlignment="1">
      <alignment horizontal="center" vertical="center"/>
    </xf>
    <xf numFmtId="0" fontId="27" fillId="0" borderId="19" xfId="9" applyFont="1" applyBorder="1" applyAlignment="1">
      <alignment horizontal="center" vertical="center"/>
    </xf>
    <xf numFmtId="169" fontId="27" fillId="0" borderId="17" xfId="9" applyNumberFormat="1" applyFont="1" applyBorder="1" applyAlignment="1">
      <alignment horizontal="center" vertical="center" wrapText="1"/>
    </xf>
    <xf numFmtId="169" fontId="27" fillId="0" borderId="19" xfId="9" applyNumberFormat="1" applyFont="1" applyBorder="1" applyAlignment="1">
      <alignment horizontal="center" vertical="center" wrapText="1"/>
    </xf>
    <xf numFmtId="171" fontId="27" fillId="0" borderId="39" xfId="9" applyNumberFormat="1" applyFont="1" applyBorder="1" applyAlignment="1">
      <alignment horizontal="center" vertical="center" wrapText="1"/>
    </xf>
    <xf numFmtId="171" fontId="27" fillId="0" borderId="40" xfId="9" applyNumberFormat="1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8" xfId="0" applyFont="1" applyBorder="1" applyAlignment="1">
      <alignment horizontal="right" vertical="center"/>
    </xf>
    <xf numFmtId="171" fontId="14" fillId="0" borderId="28" xfId="0" applyNumberFormat="1" applyFont="1" applyBorder="1" applyAlignment="1">
      <alignment horizontal="right" vertical="center"/>
    </xf>
    <xf numFmtId="171" fontId="14" fillId="0" borderId="33" xfId="0" applyNumberFormat="1" applyFont="1" applyBorder="1" applyAlignment="1">
      <alignment horizontal="right" vertical="center"/>
    </xf>
    <xf numFmtId="0" fontId="15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171" fontId="19" fillId="0" borderId="4" xfId="0" applyNumberFormat="1" applyFont="1" applyBorder="1" applyAlignment="1">
      <alignment horizontal="right" vertical="center"/>
    </xf>
    <xf numFmtId="171" fontId="19" fillId="0" borderId="21" xfId="0" applyNumberFormat="1" applyFont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35" xfId="0" applyFont="1" applyBorder="1" applyAlignment="1">
      <alignment horizontal="right" vertical="center"/>
    </xf>
    <xf numFmtId="0" fontId="11" fillId="0" borderId="7" xfId="0" applyFont="1" applyBorder="1" applyAlignment="1">
      <alignment horizontal="left" vertical="center"/>
    </xf>
    <xf numFmtId="171" fontId="11" fillId="0" borderId="0" xfId="0" applyNumberFormat="1" applyFont="1" applyAlignment="1">
      <alignment horizontal="right" vertical="center"/>
    </xf>
    <xf numFmtId="171" fontId="11" fillId="0" borderId="22" xfId="0" applyNumberFormat="1" applyFont="1" applyBorder="1" applyAlignment="1">
      <alignment horizontal="right" vertical="center"/>
    </xf>
    <xf numFmtId="0" fontId="12" fillId="0" borderId="7" xfId="0" applyFont="1" applyBorder="1" applyAlignment="1">
      <alignment horizontal="left" vertical="center"/>
    </xf>
    <xf numFmtId="171" fontId="12" fillId="0" borderId="0" xfId="0" applyNumberFormat="1" applyFont="1" applyAlignment="1">
      <alignment horizontal="right" vertical="center"/>
    </xf>
    <xf numFmtId="171" fontId="12" fillId="0" borderId="22" xfId="0" applyNumberFormat="1" applyFont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35" xfId="0" applyFont="1" applyBorder="1" applyAlignment="1">
      <alignment horizontal="right" vertical="center"/>
    </xf>
    <xf numFmtId="0" fontId="18" fillId="0" borderId="30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12" fillId="0" borderId="11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2" fillId="0" borderId="32" xfId="0" applyFont="1" applyBorder="1" applyAlignment="1">
      <alignment horizontal="right"/>
    </xf>
    <xf numFmtId="0" fontId="11" fillId="0" borderId="9" xfId="0" applyFont="1" applyBorder="1" applyAlignment="1">
      <alignment horizontal="center" vertical="center"/>
    </xf>
    <xf numFmtId="171" fontId="11" fillId="0" borderId="9" xfId="0" applyNumberFormat="1" applyFont="1" applyBorder="1" applyAlignment="1">
      <alignment horizontal="right" vertical="center"/>
    </xf>
    <xf numFmtId="171" fontId="11" fillId="0" borderId="36" xfId="0" applyNumberFormat="1" applyFont="1" applyBorder="1" applyAlignment="1">
      <alignment horizontal="right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21" fillId="0" borderId="35" xfId="0" applyFont="1" applyBorder="1" applyAlignment="1">
      <alignment horizontal="right" vertical="center" wrapText="1"/>
    </xf>
    <xf numFmtId="0" fontId="22" fillId="0" borderId="16" xfId="0" applyFont="1" applyBorder="1" applyAlignment="1">
      <alignment horizontal="center" vertical="center" wrapText="1"/>
    </xf>
    <xf numFmtId="171" fontId="22" fillId="0" borderId="16" xfId="0" applyNumberFormat="1" applyFont="1" applyBorder="1" applyAlignment="1">
      <alignment horizontal="right" vertical="center" wrapText="1"/>
    </xf>
    <xf numFmtId="171" fontId="22" fillId="0" borderId="37" xfId="0" applyNumberFormat="1" applyFont="1" applyBorder="1" applyAlignment="1">
      <alignment horizontal="right" vertical="center" wrapText="1"/>
    </xf>
    <xf numFmtId="0" fontId="19" fillId="0" borderId="3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171" fontId="19" fillId="0" borderId="16" xfId="0" applyNumberFormat="1" applyFont="1" applyBorder="1" applyAlignment="1">
      <alignment horizontal="center" vertical="center" wrapText="1"/>
    </xf>
    <xf numFmtId="171" fontId="19" fillId="0" borderId="19" xfId="0" applyNumberFormat="1" applyFont="1" applyBorder="1" applyAlignment="1">
      <alignment horizontal="center" vertical="center" wrapText="1"/>
    </xf>
    <xf numFmtId="171" fontId="19" fillId="0" borderId="36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35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9" fontId="4" fillId="0" borderId="2" xfId="0" applyNumberFormat="1" applyFont="1" applyBorder="1" applyAlignment="1">
      <alignment horizontal="right" vertical="center"/>
    </xf>
    <xf numFmtId="0" fontId="4" fillId="0" borderId="20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9" fontId="1" fillId="0" borderId="11" xfId="0" applyNumberFormat="1" applyFont="1" applyBorder="1" applyAlignment="1">
      <alignment horizontal="right"/>
    </xf>
    <xf numFmtId="0" fontId="1" fillId="0" borderId="23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9" fontId="10" fillId="0" borderId="0" xfId="0" applyNumberFormat="1" applyFont="1" applyAlignment="1">
      <alignment horizontal="right" vertical="center" wrapText="1"/>
    </xf>
    <xf numFmtId="0" fontId="10" fillId="0" borderId="2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169" fontId="5" fillId="0" borderId="9" xfId="0" applyNumberFormat="1" applyFont="1" applyBorder="1" applyAlignment="1">
      <alignment horizontal="center" vertical="center" wrapText="1"/>
    </xf>
    <xf numFmtId="169" fontId="5" fillId="0" borderId="9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7" fillId="0" borderId="9" xfId="0" applyFont="1" applyBorder="1" applyAlignment="1">
      <alignment horizontal="center"/>
    </xf>
  </cellXfs>
  <cellStyles count="20">
    <cellStyle name="Comma [0] 2" xfId="4" xr:uid="{00000000-0005-0000-0000-000010000000}"/>
    <cellStyle name="Comma [0] 3" xfId="2" xr:uid="{00000000-0005-0000-0000-00000A000000}"/>
    <cellStyle name="Hyperlink" xfId="1" builtinId="8"/>
    <cellStyle name="Normal" xfId="0" builtinId="0"/>
    <cellStyle name="Normal 2" xfId="6" xr:uid="{00000000-0005-0000-0000-00002E000000}"/>
    <cellStyle name="Normal 3" xfId="7" xr:uid="{00000000-0005-0000-0000-000031000000}"/>
    <cellStyle name="Normal 4" xfId="9" xr:uid="{00000000-0005-0000-0000-000036000000}"/>
    <cellStyle name="쉼표 [0] 2" xfId="10" xr:uid="{00000000-0005-0000-0000-000039000000}"/>
    <cellStyle name="표준 2" xfId="11" xr:uid="{00000000-0005-0000-0000-00003A000000}"/>
    <cellStyle name="常规 10" xfId="8" xr:uid="{00000000-0005-0000-0000-000035000000}"/>
    <cellStyle name="常规 11" xfId="12" xr:uid="{00000000-0005-0000-0000-00003B000000}"/>
    <cellStyle name="常规 12" xfId="5" xr:uid="{00000000-0005-0000-0000-000015000000}"/>
    <cellStyle name="常规 2" xfId="13" xr:uid="{00000000-0005-0000-0000-00003C000000}"/>
    <cellStyle name="常规 3" xfId="14" xr:uid="{00000000-0005-0000-0000-00003D000000}"/>
    <cellStyle name="常规 4" xfId="15" xr:uid="{00000000-0005-0000-0000-00003E000000}"/>
    <cellStyle name="常规 5" xfId="16" xr:uid="{00000000-0005-0000-0000-00003F000000}"/>
    <cellStyle name="常规 6" xfId="3" xr:uid="{00000000-0005-0000-0000-00000F000000}"/>
    <cellStyle name="常规 7" xfId="17" xr:uid="{00000000-0005-0000-0000-000040000000}"/>
    <cellStyle name="常规 8" xfId="18" xr:uid="{00000000-0005-0000-0000-000041000000}"/>
    <cellStyle name="常规 9" xfId="19" xr:uid="{00000000-0005-0000-0000-000042000000}"/>
  </cellStyles>
  <dxfs count="0"/>
  <tableStyles count="0" defaultTableStyle="TableStyleMedium2" defaultPivotStyle="PivotStyleLight16"/>
  <colors>
    <mruColors>
      <color rgb="FF2823F3"/>
      <color rgb="FF0000FF"/>
      <color rgb="FF0000CC"/>
      <color rgb="FFFF0000"/>
      <color rgb="FFFFFFFF"/>
      <color rgb="FF00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876300</xdr:colOff>
      <xdr:row>20</xdr:row>
      <xdr:rowOff>133350</xdr:rowOff>
    </xdr:from>
    <xdr:to>
      <xdr:col>2</xdr:col>
      <xdr:colOff>2498090</xdr:colOff>
      <xdr:row>26</xdr:row>
      <xdr:rowOff>148590</xdr:rowOff>
    </xdr:to>
    <xdr:pic>
      <xdr:nvPicPr>
        <xdr:cNvPr id="3" name="图片 2" descr="lQLPKIN7tPM1D03Mvs0BCrA-UaDffukzMQZmfz5hvi8A_266_19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4235" y="4724400"/>
          <a:ext cx="1621790" cy="1158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876300</xdr:colOff>
      <xdr:row>25</xdr:row>
      <xdr:rowOff>133350</xdr:rowOff>
    </xdr:from>
    <xdr:to>
      <xdr:col>2</xdr:col>
      <xdr:colOff>2498090</xdr:colOff>
      <xdr:row>31</xdr:row>
      <xdr:rowOff>148590</xdr:rowOff>
    </xdr:to>
    <xdr:pic>
      <xdr:nvPicPr>
        <xdr:cNvPr id="2" name="图片 1" descr="lQLPKIN7tPM1D03Mvs0BCrA-UaDffukzMQZmfz5hvi8A_266_19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4235" y="5581650"/>
          <a:ext cx="1621790" cy="1158240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25</xdr:row>
      <xdr:rowOff>133350</xdr:rowOff>
    </xdr:from>
    <xdr:to>
      <xdr:col>2</xdr:col>
      <xdr:colOff>2498090</xdr:colOff>
      <xdr:row>31</xdr:row>
      <xdr:rowOff>148590</xdr:rowOff>
    </xdr:to>
    <xdr:pic>
      <xdr:nvPicPr>
        <xdr:cNvPr id="3" name="图片 2" descr="lQLPKIN7tPM1D03Mvs0BCrA-UaDffukzMQZmfz5hvi8A_266_19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4235" y="5581650"/>
          <a:ext cx="1621790" cy="11582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876300</xdr:colOff>
      <xdr:row>20</xdr:row>
      <xdr:rowOff>133350</xdr:rowOff>
    </xdr:from>
    <xdr:to>
      <xdr:col>2</xdr:col>
      <xdr:colOff>2498090</xdr:colOff>
      <xdr:row>26</xdr:row>
      <xdr:rowOff>148590</xdr:rowOff>
    </xdr:to>
    <xdr:pic>
      <xdr:nvPicPr>
        <xdr:cNvPr id="2" name="图片 1" descr="lQLPKIN7tPM1D03Mvs0BCrA-UaDffukzMQZmfz5hvi8A_266_19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4235" y="4724400"/>
          <a:ext cx="1621790" cy="11582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876300</xdr:colOff>
      <xdr:row>21</xdr:row>
      <xdr:rowOff>133350</xdr:rowOff>
    </xdr:from>
    <xdr:to>
      <xdr:col>2</xdr:col>
      <xdr:colOff>2498090</xdr:colOff>
      <xdr:row>27</xdr:row>
      <xdr:rowOff>148590</xdr:rowOff>
    </xdr:to>
    <xdr:pic>
      <xdr:nvPicPr>
        <xdr:cNvPr id="2" name="图片 1" descr="lQLPKIN7tPM1D03Mvs0BCrA-UaDffukzMQZmfz5hvi8A_266_19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4235" y="4895850"/>
          <a:ext cx="1621790" cy="115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876300</xdr:colOff>
      <xdr:row>56</xdr:row>
      <xdr:rowOff>133350</xdr:rowOff>
    </xdr:from>
    <xdr:to>
      <xdr:col>2</xdr:col>
      <xdr:colOff>2498090</xdr:colOff>
      <xdr:row>62</xdr:row>
      <xdr:rowOff>148590</xdr:rowOff>
    </xdr:to>
    <xdr:pic>
      <xdr:nvPicPr>
        <xdr:cNvPr id="2" name="图片 1" descr="lQLPKIN7tPM1D03Mvs0BCrA-UaDffukzMQZmfz5hvi8A_266_19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4940" y="11811000"/>
          <a:ext cx="1621790" cy="11582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267335</xdr:colOff>
      <xdr:row>72</xdr:row>
      <xdr:rowOff>19050</xdr:rowOff>
    </xdr:from>
    <xdr:to>
      <xdr:col>10</xdr:col>
      <xdr:colOff>332105</xdr:colOff>
      <xdr:row>76</xdr:row>
      <xdr:rowOff>199390</xdr:rowOff>
    </xdr:to>
    <xdr:pic>
      <xdr:nvPicPr>
        <xdr:cNvPr id="2" name="图片 1" descr="lQLPKIN7tPM1D03Mvs0BCrA-UaDffukzMQZmfz5hvi8A_266_19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1435" y="25114250"/>
          <a:ext cx="1461770" cy="10439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421005</xdr:colOff>
      <xdr:row>68</xdr:row>
      <xdr:rowOff>81915</xdr:rowOff>
    </xdr:from>
    <xdr:to>
      <xdr:col>7</xdr:col>
      <xdr:colOff>443865</xdr:colOff>
      <xdr:row>73</xdr:row>
      <xdr:rowOff>163830</xdr:rowOff>
    </xdr:to>
    <xdr:pic>
      <xdr:nvPicPr>
        <xdr:cNvPr id="3" name="图片 2" descr="lQLPKIN7tPM1D03Mvs0BCrA-UaDffukzMQZmfz5hvi8A_266_190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4615" y="20573365"/>
          <a:ext cx="1623060" cy="1161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selection activeCell="B15" sqref="B15"/>
    </sheetView>
  </sheetViews>
  <sheetFormatPr defaultColWidth="9.109375" defaultRowHeight="14.4"/>
  <cols>
    <col min="1" max="1" width="8.44140625" style="99" customWidth="1"/>
    <col min="2" max="2" width="24.77734375" style="99" customWidth="1"/>
    <col min="3" max="3" width="42" style="101" customWidth="1"/>
    <col min="4" max="4" width="10.5546875" style="102" customWidth="1"/>
    <col min="5" max="5" width="9.21875" style="103" customWidth="1"/>
    <col min="6" max="6" width="11.21875" style="103" customWidth="1"/>
    <col min="7" max="7" width="11.88671875" style="104" customWidth="1"/>
    <col min="8" max="8" width="11.44140625" style="105" customWidth="1"/>
    <col min="9" max="9" width="9.109375" style="99"/>
    <col min="10" max="10" width="11.109375" style="99"/>
    <col min="11" max="16377" width="9.109375" style="99"/>
    <col min="16378" max="16378" width="9.33203125" style="99"/>
    <col min="16379" max="16384" width="9.109375" style="99"/>
  </cols>
  <sheetData>
    <row r="1" spans="1:10" ht="23.25" customHeight="1">
      <c r="A1" s="173" t="s">
        <v>0</v>
      </c>
      <c r="B1" s="174"/>
      <c r="C1" s="174"/>
      <c r="D1" s="174"/>
      <c r="E1" s="174"/>
      <c r="F1" s="174"/>
      <c r="G1" s="174"/>
      <c r="H1" s="175"/>
    </row>
    <row r="2" spans="1:10" ht="15.6">
      <c r="A2" s="106"/>
      <c r="B2" s="107"/>
      <c r="C2" s="108"/>
      <c r="D2" s="109"/>
      <c r="E2" s="110" t="s">
        <v>1</v>
      </c>
      <c r="F2" s="111"/>
      <c r="G2" s="112"/>
      <c r="H2" s="113"/>
    </row>
    <row r="3" spans="1:10" ht="15.6">
      <c r="A3" s="106"/>
      <c r="B3" s="107"/>
      <c r="C3" s="108"/>
      <c r="D3" s="109"/>
      <c r="E3" s="110" t="s">
        <v>2</v>
      </c>
      <c r="F3" s="114">
        <v>45869</v>
      </c>
      <c r="G3" s="112"/>
      <c r="H3" s="113"/>
    </row>
    <row r="4" spans="1:10" ht="15.6">
      <c r="A4" s="115" t="s">
        <v>3</v>
      </c>
      <c r="B4" s="116" t="s">
        <v>4</v>
      </c>
      <c r="C4" s="117"/>
      <c r="D4" s="118"/>
      <c r="E4" s="119"/>
      <c r="F4" s="119"/>
      <c r="G4" s="120"/>
      <c r="H4" s="121"/>
    </row>
    <row r="5" spans="1:10" s="100" customFormat="1" ht="34.5" customHeight="1">
      <c r="A5" s="122"/>
      <c r="B5" s="176" t="s">
        <v>5</v>
      </c>
      <c r="C5" s="176"/>
      <c r="D5" s="177"/>
      <c r="E5" s="178"/>
      <c r="F5" s="178"/>
      <c r="G5" s="179"/>
      <c r="H5" s="180"/>
    </row>
    <row r="6" spans="1:10" ht="15.6">
      <c r="A6" s="106"/>
      <c r="B6" s="107" t="s">
        <v>6</v>
      </c>
      <c r="C6" s="108"/>
      <c r="D6" s="109"/>
      <c r="E6" s="123"/>
      <c r="F6" s="123"/>
      <c r="G6" s="124"/>
      <c r="H6" s="125"/>
    </row>
    <row r="7" spans="1:10" ht="15.6">
      <c r="A7" s="126"/>
      <c r="B7" s="127" t="s">
        <v>7</v>
      </c>
      <c r="C7" s="128"/>
      <c r="D7" s="129"/>
      <c r="E7" s="130"/>
      <c r="F7" s="130"/>
      <c r="G7" s="131"/>
      <c r="H7" s="132"/>
    </row>
    <row r="8" spans="1:10" s="100" customFormat="1" ht="20.25" customHeight="1">
      <c r="A8" s="133" t="s">
        <v>8</v>
      </c>
      <c r="B8" s="134" t="s">
        <v>9</v>
      </c>
      <c r="C8" s="135"/>
      <c r="D8" s="136"/>
      <c r="E8" s="137"/>
      <c r="F8" s="137"/>
      <c r="G8" s="138"/>
      <c r="H8" s="139"/>
    </row>
    <row r="9" spans="1:10" s="100" customFormat="1" ht="37.5" customHeight="1">
      <c r="A9" s="140"/>
      <c r="B9" s="181" t="s">
        <v>10</v>
      </c>
      <c r="C9" s="181"/>
      <c r="D9" s="182"/>
      <c r="E9" s="183"/>
      <c r="F9" s="183"/>
      <c r="G9" s="184"/>
      <c r="H9" s="185"/>
    </row>
    <row r="10" spans="1:10" s="100" customFormat="1" ht="27.75" customHeight="1">
      <c r="A10" s="141" t="s">
        <v>11</v>
      </c>
      <c r="B10" s="142"/>
      <c r="C10" s="143"/>
      <c r="D10" s="144"/>
      <c r="E10" s="145"/>
      <c r="F10" s="145"/>
      <c r="G10" s="146"/>
      <c r="H10" s="113"/>
    </row>
    <row r="11" spans="1:10" s="100" customFormat="1" ht="15.6">
      <c r="A11" s="193" t="s">
        <v>12</v>
      </c>
      <c r="B11" s="186" t="s">
        <v>13</v>
      </c>
      <c r="C11" s="187"/>
      <c r="D11" s="195" t="s">
        <v>14</v>
      </c>
      <c r="E11" s="197" t="s">
        <v>15</v>
      </c>
      <c r="F11" s="197" t="s">
        <v>16</v>
      </c>
      <c r="G11" s="199" t="s">
        <v>17</v>
      </c>
      <c r="H11" s="201" t="s">
        <v>18</v>
      </c>
    </row>
    <row r="12" spans="1:10" s="100" customFormat="1" ht="15.6">
      <c r="A12" s="194"/>
      <c r="B12" s="147" t="s">
        <v>19</v>
      </c>
      <c r="C12" s="148" t="s">
        <v>20</v>
      </c>
      <c r="D12" s="196"/>
      <c r="E12" s="198"/>
      <c r="F12" s="198"/>
      <c r="G12" s="200"/>
      <c r="H12" s="202"/>
    </row>
    <row r="13" spans="1:10" s="100" customFormat="1">
      <c r="A13" s="149">
        <v>1</v>
      </c>
      <c r="B13" s="151" t="s">
        <v>21</v>
      </c>
      <c r="C13" s="151" t="s">
        <v>22</v>
      </c>
      <c r="D13" s="151">
        <v>28</v>
      </c>
      <c r="E13" s="152" t="s">
        <v>23</v>
      </c>
      <c r="F13" s="151" t="s">
        <v>24</v>
      </c>
      <c r="G13" s="153">
        <v>14.3428</v>
      </c>
      <c r="H13" s="154">
        <f>G13*D13</f>
        <v>401.59840000000003</v>
      </c>
    </row>
    <row r="14" spans="1:10" s="100" customFormat="1">
      <c r="A14" s="172">
        <v>2</v>
      </c>
      <c r="B14" s="151" t="s">
        <v>25</v>
      </c>
      <c r="C14" s="151" t="s">
        <v>26</v>
      </c>
      <c r="D14" s="151">
        <v>10</v>
      </c>
      <c r="E14" s="152" t="s">
        <v>23</v>
      </c>
      <c r="F14" s="151" t="s">
        <v>24</v>
      </c>
      <c r="G14" s="153">
        <v>2.2646999999999999</v>
      </c>
      <c r="H14" s="154">
        <f>G14*D14</f>
        <v>22.646999999999998</v>
      </c>
    </row>
    <row r="15" spans="1:10" s="100" customFormat="1" ht="20.25" customHeight="1">
      <c r="A15" s="156"/>
      <c r="B15" s="148"/>
      <c r="C15" s="148"/>
      <c r="D15" s="157">
        <f>SUM(D13:D14)</f>
        <v>38</v>
      </c>
      <c r="E15" s="158"/>
      <c r="F15" s="159"/>
      <c r="G15" s="160"/>
      <c r="H15" s="157">
        <f>SUM(H13:H14)</f>
        <v>424.24540000000002</v>
      </c>
    </row>
    <row r="16" spans="1:10" ht="15.6">
      <c r="A16" s="161"/>
      <c r="B16" s="107"/>
      <c r="C16" s="108"/>
      <c r="D16" s="109"/>
      <c r="E16" s="123"/>
      <c r="F16" s="123"/>
      <c r="G16" s="124"/>
      <c r="H16" s="125"/>
      <c r="J16" s="100"/>
    </row>
    <row r="17" spans="1:10" ht="15.6">
      <c r="A17" s="106"/>
      <c r="B17" s="107" t="s">
        <v>27</v>
      </c>
      <c r="C17" s="108"/>
      <c r="D17" s="109"/>
      <c r="E17" s="123"/>
      <c r="F17" s="123"/>
      <c r="G17" s="124"/>
      <c r="H17" s="125"/>
      <c r="J17" s="100"/>
    </row>
    <row r="18" spans="1:10" ht="15.6">
      <c r="A18" s="106"/>
      <c r="B18" s="107" t="s">
        <v>28</v>
      </c>
      <c r="C18" s="108"/>
      <c r="D18" s="109"/>
      <c r="E18" s="123"/>
      <c r="F18" s="123"/>
      <c r="G18" s="124"/>
      <c r="H18" s="125"/>
      <c r="J18" s="100"/>
    </row>
    <row r="19" spans="1:10" ht="15.6">
      <c r="A19" s="106"/>
      <c r="B19" s="162" t="s">
        <v>29</v>
      </c>
      <c r="C19" s="108"/>
      <c r="D19" s="109"/>
      <c r="E19" s="123"/>
      <c r="F19" s="123"/>
      <c r="G19" s="124"/>
      <c r="H19" s="125"/>
      <c r="J19" s="100"/>
    </row>
    <row r="20" spans="1:10" ht="15.6">
      <c r="A20" s="106"/>
      <c r="B20" s="107" t="s">
        <v>30</v>
      </c>
      <c r="C20" s="108"/>
      <c r="D20" s="109"/>
      <c r="E20" s="123"/>
      <c r="F20" s="123"/>
      <c r="G20" s="124"/>
      <c r="H20" s="125"/>
      <c r="J20" s="100"/>
    </row>
    <row r="21" spans="1:10" ht="15.6">
      <c r="A21" s="106"/>
      <c r="B21" s="107" t="s">
        <v>31</v>
      </c>
      <c r="C21" s="108"/>
      <c r="D21" s="109"/>
      <c r="E21" s="123"/>
      <c r="F21" s="123"/>
      <c r="G21" s="124"/>
      <c r="H21" s="125"/>
      <c r="J21" s="100"/>
    </row>
    <row r="22" spans="1:10" ht="15.6">
      <c r="A22" s="106"/>
      <c r="B22" s="107" t="s">
        <v>32</v>
      </c>
      <c r="C22" s="108"/>
      <c r="D22" s="109"/>
      <c r="E22" s="123"/>
      <c r="F22" s="123"/>
      <c r="G22" s="124"/>
      <c r="H22" s="125"/>
      <c r="J22" s="100"/>
    </row>
    <row r="23" spans="1:10" ht="15.6">
      <c r="A23" s="106"/>
      <c r="B23" s="107" t="s">
        <v>33</v>
      </c>
      <c r="C23" s="108"/>
      <c r="D23" s="109"/>
      <c r="E23" s="123"/>
      <c r="F23" s="123"/>
      <c r="G23" s="124"/>
      <c r="H23" s="125"/>
      <c r="J23" s="100"/>
    </row>
    <row r="24" spans="1:10" ht="17.399999999999999">
      <c r="A24" s="188" t="s">
        <v>34</v>
      </c>
      <c r="B24" s="189"/>
      <c r="C24" s="190"/>
      <c r="D24" s="163"/>
      <c r="E24" s="189" t="s">
        <v>35</v>
      </c>
      <c r="F24" s="189"/>
      <c r="G24" s="191"/>
      <c r="H24" s="192"/>
      <c r="J24" s="100"/>
    </row>
    <row r="25" spans="1:10" ht="15.6">
      <c r="A25" s="106"/>
      <c r="B25" s="107"/>
      <c r="C25" s="108"/>
      <c r="D25" s="109"/>
      <c r="E25" s="123"/>
      <c r="F25" s="123"/>
      <c r="G25" s="124"/>
      <c r="H25" s="125"/>
      <c r="J25" s="100"/>
    </row>
    <row r="26" spans="1:10" ht="15.6">
      <c r="A26" s="106"/>
      <c r="B26" s="107"/>
      <c r="C26" s="108"/>
      <c r="D26" s="109"/>
      <c r="E26" s="123"/>
      <c r="F26" s="123"/>
      <c r="G26" s="124"/>
      <c r="H26" s="125"/>
      <c r="J26" s="100"/>
    </row>
    <row r="27" spans="1:10" ht="15.6">
      <c r="A27" s="106"/>
      <c r="B27" s="107"/>
      <c r="C27" s="108"/>
      <c r="D27" s="109"/>
      <c r="E27" s="123"/>
      <c r="F27" s="123"/>
      <c r="G27" s="124"/>
      <c r="H27" s="125"/>
    </row>
    <row r="28" spans="1:10" ht="15.6">
      <c r="A28" s="106"/>
      <c r="B28" s="107"/>
      <c r="C28" s="108"/>
      <c r="D28" s="109"/>
      <c r="E28" s="123"/>
      <c r="F28" s="123"/>
      <c r="G28" s="124"/>
      <c r="H28" s="125"/>
    </row>
    <row r="29" spans="1:10" ht="15.6">
      <c r="A29" s="164"/>
      <c r="B29" s="165"/>
      <c r="C29" s="166"/>
      <c r="D29" s="167"/>
      <c r="E29" s="168"/>
      <c r="F29" s="168"/>
      <c r="G29" s="169"/>
      <c r="H29" s="170"/>
    </row>
  </sheetData>
  <mergeCells count="12">
    <mergeCell ref="A1:H1"/>
    <mergeCell ref="B5:H5"/>
    <mergeCell ref="B9:H9"/>
    <mergeCell ref="B11:C11"/>
    <mergeCell ref="A24:C24"/>
    <mergeCell ref="E24:H24"/>
    <mergeCell ref="A11:A12"/>
    <mergeCell ref="D11:D12"/>
    <mergeCell ref="E11:E12"/>
    <mergeCell ref="F11:F12"/>
    <mergeCell ref="G11:G12"/>
    <mergeCell ref="H11:H12"/>
  </mergeCells>
  <pageMargins left="0.75" right="0.75" top="1" bottom="1" header="0.5" footer="0.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workbookViewId="0">
      <selection activeCell="C18" sqref="C18"/>
    </sheetView>
  </sheetViews>
  <sheetFormatPr defaultColWidth="9.109375" defaultRowHeight="14.4"/>
  <cols>
    <col min="1" max="1" width="8.44140625" style="99" customWidth="1"/>
    <col min="2" max="2" width="24.77734375" style="99" customWidth="1"/>
    <col min="3" max="3" width="42" style="101" customWidth="1"/>
    <col min="4" max="4" width="10.5546875" style="102" customWidth="1"/>
    <col min="5" max="5" width="9.21875" style="103" customWidth="1"/>
    <col min="6" max="6" width="11.21875" style="103" customWidth="1"/>
    <col min="7" max="7" width="11.88671875" style="104" customWidth="1"/>
    <col min="8" max="8" width="11.44140625" style="105" customWidth="1"/>
    <col min="9" max="9" width="9.109375" style="99"/>
    <col min="10" max="10" width="11.109375" style="99"/>
    <col min="11" max="16377" width="9.109375" style="99"/>
    <col min="16378" max="16378" width="9.33203125" style="99"/>
    <col min="16379" max="16384" width="9.109375" style="99"/>
  </cols>
  <sheetData>
    <row r="1" spans="1:8" ht="23.25" customHeight="1">
      <c r="A1" s="173" t="s">
        <v>0</v>
      </c>
      <c r="B1" s="174"/>
      <c r="C1" s="174"/>
      <c r="D1" s="174"/>
      <c r="E1" s="174"/>
      <c r="F1" s="174"/>
      <c r="G1" s="174"/>
      <c r="H1" s="175"/>
    </row>
    <row r="2" spans="1:8" ht="15.6">
      <c r="A2" s="106"/>
      <c r="B2" s="107"/>
      <c r="C2" s="108"/>
      <c r="D2" s="109"/>
      <c r="E2" s="110" t="s">
        <v>36</v>
      </c>
      <c r="F2" s="111"/>
      <c r="G2" s="112"/>
      <c r="H2" s="113"/>
    </row>
    <row r="3" spans="1:8" ht="15.6">
      <c r="A3" s="106"/>
      <c r="B3" s="107"/>
      <c r="C3" s="108"/>
      <c r="D3" s="109"/>
      <c r="E3" s="110" t="s">
        <v>2</v>
      </c>
      <c r="F3" s="114">
        <v>45866</v>
      </c>
      <c r="G3" s="112"/>
      <c r="H3" s="113"/>
    </row>
    <row r="4" spans="1:8" ht="15.6">
      <c r="A4" s="115" t="s">
        <v>3</v>
      </c>
      <c r="B4" s="116" t="s">
        <v>4</v>
      </c>
      <c r="C4" s="117"/>
      <c r="D4" s="118"/>
      <c r="E4" s="119"/>
      <c r="F4" s="119"/>
      <c r="G4" s="120"/>
      <c r="H4" s="121"/>
    </row>
    <row r="5" spans="1:8" s="100" customFormat="1" ht="34.5" customHeight="1">
      <c r="A5" s="122"/>
      <c r="B5" s="176" t="s">
        <v>5</v>
      </c>
      <c r="C5" s="176"/>
      <c r="D5" s="177"/>
      <c r="E5" s="178"/>
      <c r="F5" s="178"/>
      <c r="G5" s="179"/>
      <c r="H5" s="180"/>
    </row>
    <row r="6" spans="1:8" ht="15.6">
      <c r="A6" s="106"/>
      <c r="B6" s="107" t="s">
        <v>6</v>
      </c>
      <c r="C6" s="108"/>
      <c r="D6" s="109"/>
      <c r="E6" s="123"/>
      <c r="F6" s="123"/>
      <c r="G6" s="124"/>
      <c r="H6" s="125"/>
    </row>
    <row r="7" spans="1:8" ht="15.6">
      <c r="A7" s="126"/>
      <c r="B7" s="127" t="s">
        <v>7</v>
      </c>
      <c r="C7" s="128"/>
      <c r="D7" s="129"/>
      <c r="E7" s="130"/>
      <c r="F7" s="130"/>
      <c r="G7" s="131"/>
      <c r="H7" s="132"/>
    </row>
    <row r="8" spans="1:8" s="100" customFormat="1" ht="20.25" customHeight="1">
      <c r="A8" s="133" t="s">
        <v>8</v>
      </c>
      <c r="B8" s="134" t="s">
        <v>9</v>
      </c>
      <c r="C8" s="135"/>
      <c r="D8" s="136"/>
      <c r="E8" s="137"/>
      <c r="F8" s="137"/>
      <c r="G8" s="138"/>
      <c r="H8" s="139"/>
    </row>
    <row r="9" spans="1:8" s="100" customFormat="1" ht="37.5" customHeight="1">
      <c r="A9" s="140"/>
      <c r="B9" s="181" t="s">
        <v>10</v>
      </c>
      <c r="C9" s="181"/>
      <c r="D9" s="182"/>
      <c r="E9" s="183"/>
      <c r="F9" s="183"/>
      <c r="G9" s="184"/>
      <c r="H9" s="185"/>
    </row>
    <row r="10" spans="1:8" s="100" customFormat="1" ht="27.75" customHeight="1">
      <c r="A10" s="141" t="s">
        <v>11</v>
      </c>
      <c r="B10" s="142"/>
      <c r="C10" s="143"/>
      <c r="D10" s="144"/>
      <c r="E10" s="145"/>
      <c r="F10" s="145"/>
      <c r="G10" s="146"/>
      <c r="H10" s="113"/>
    </row>
    <row r="11" spans="1:8" s="100" customFormat="1" ht="15.6">
      <c r="A11" s="193" t="s">
        <v>12</v>
      </c>
      <c r="B11" s="186" t="s">
        <v>13</v>
      </c>
      <c r="C11" s="187"/>
      <c r="D11" s="195" t="s">
        <v>14</v>
      </c>
      <c r="E11" s="197" t="s">
        <v>15</v>
      </c>
      <c r="F11" s="197" t="s">
        <v>16</v>
      </c>
      <c r="G11" s="199" t="s">
        <v>17</v>
      </c>
      <c r="H11" s="201" t="s">
        <v>18</v>
      </c>
    </row>
    <row r="12" spans="1:8" s="100" customFormat="1" ht="15.6">
      <c r="A12" s="194"/>
      <c r="B12" s="147" t="s">
        <v>19</v>
      </c>
      <c r="C12" s="148" t="s">
        <v>20</v>
      </c>
      <c r="D12" s="196"/>
      <c r="E12" s="198"/>
      <c r="F12" s="198"/>
      <c r="G12" s="200"/>
      <c r="H12" s="202"/>
    </row>
    <row r="13" spans="1:8" s="100" customFormat="1">
      <c r="A13" s="149">
        <v>1</v>
      </c>
      <c r="B13" s="151" t="s">
        <v>37</v>
      </c>
      <c r="C13" s="171" t="s">
        <v>38</v>
      </c>
      <c r="D13" s="151">
        <v>12</v>
      </c>
      <c r="E13" s="152" t="s">
        <v>23</v>
      </c>
      <c r="F13" s="151" t="s">
        <v>24</v>
      </c>
      <c r="G13" s="153">
        <v>49.702199999999998</v>
      </c>
      <c r="H13" s="154">
        <f>G13*D13</f>
        <v>596.42639999999994</v>
      </c>
    </row>
    <row r="14" spans="1:8" s="100" customFormat="1">
      <c r="A14" s="149">
        <v>2</v>
      </c>
      <c r="B14" s="151" t="s">
        <v>39</v>
      </c>
      <c r="C14" s="155" t="s">
        <v>38</v>
      </c>
      <c r="D14" s="151">
        <v>4</v>
      </c>
      <c r="E14" s="152" t="s">
        <v>23</v>
      </c>
      <c r="F14" s="151" t="s">
        <v>24</v>
      </c>
      <c r="G14" s="153">
        <v>49.702199999999998</v>
      </c>
      <c r="H14" s="154">
        <f t="shared" ref="H14:H19" si="0">G14*D14</f>
        <v>198.80879999999999</v>
      </c>
    </row>
    <row r="15" spans="1:8" s="100" customFormat="1">
      <c r="A15" s="149">
        <v>3</v>
      </c>
      <c r="B15" s="151" t="s">
        <v>40</v>
      </c>
      <c r="C15" s="155" t="s">
        <v>38</v>
      </c>
      <c r="D15" s="151">
        <v>2</v>
      </c>
      <c r="E15" s="152" t="s">
        <v>23</v>
      </c>
      <c r="F15" s="151" t="s">
        <v>24</v>
      </c>
      <c r="G15" s="153">
        <v>49.702199999999998</v>
      </c>
      <c r="H15" s="154">
        <f t="shared" si="0"/>
        <v>99.404399999999995</v>
      </c>
    </row>
    <row r="16" spans="1:8" s="100" customFormat="1">
      <c r="A16" s="149">
        <v>4</v>
      </c>
      <c r="B16" s="151" t="s">
        <v>41</v>
      </c>
      <c r="C16" s="155" t="s">
        <v>38</v>
      </c>
      <c r="D16" s="151">
        <v>8</v>
      </c>
      <c r="E16" s="152" t="s">
        <v>23</v>
      </c>
      <c r="F16" s="151" t="s">
        <v>24</v>
      </c>
      <c r="G16" s="153">
        <v>49.702199999999998</v>
      </c>
      <c r="H16" s="154">
        <f t="shared" si="0"/>
        <v>397.61759999999998</v>
      </c>
    </row>
    <row r="17" spans="1:10" s="100" customFormat="1">
      <c r="A17" s="149">
        <v>5</v>
      </c>
      <c r="B17" s="151" t="s">
        <v>42</v>
      </c>
      <c r="C17" s="155" t="s">
        <v>38</v>
      </c>
      <c r="D17" s="151">
        <v>4</v>
      </c>
      <c r="E17" s="152" t="s">
        <v>23</v>
      </c>
      <c r="F17" s="151" t="s">
        <v>24</v>
      </c>
      <c r="G17" s="153">
        <v>49.702199999999998</v>
      </c>
      <c r="H17" s="154">
        <f t="shared" si="0"/>
        <v>198.80879999999999</v>
      </c>
    </row>
    <row r="18" spans="1:10" s="100" customFormat="1">
      <c r="A18" s="149">
        <v>6</v>
      </c>
      <c r="B18" s="151" t="s">
        <v>43</v>
      </c>
      <c r="C18" s="155" t="s">
        <v>38</v>
      </c>
      <c r="D18" s="151">
        <v>8</v>
      </c>
      <c r="E18" s="152" t="s">
        <v>23</v>
      </c>
      <c r="F18" s="151" t="s">
        <v>24</v>
      </c>
      <c r="G18" s="153">
        <v>15.0977</v>
      </c>
      <c r="H18" s="154">
        <f t="shared" si="0"/>
        <v>120.7816</v>
      </c>
    </row>
    <row r="19" spans="1:10" s="100" customFormat="1">
      <c r="A19" s="149">
        <v>7</v>
      </c>
      <c r="B19" s="151" t="s">
        <v>44</v>
      </c>
      <c r="C19" s="155" t="s">
        <v>45</v>
      </c>
      <c r="D19" s="151">
        <v>1</v>
      </c>
      <c r="E19" s="152" t="s">
        <v>46</v>
      </c>
      <c r="F19" s="151" t="s">
        <v>24</v>
      </c>
      <c r="G19" s="153">
        <v>200.41220000000001</v>
      </c>
      <c r="H19" s="154">
        <f t="shared" si="0"/>
        <v>200.41220000000001</v>
      </c>
    </row>
    <row r="20" spans="1:10" s="100" customFormat="1" ht="20.25" customHeight="1">
      <c r="A20" s="156"/>
      <c r="B20" s="148"/>
      <c r="C20" s="148"/>
      <c r="D20" s="157">
        <f>SUM(D13:D19)</f>
        <v>39</v>
      </c>
      <c r="E20" s="158"/>
      <c r="F20" s="159"/>
      <c r="G20" s="160"/>
      <c r="H20" s="157">
        <f>SUM(H13:H19)</f>
        <v>1812.2598</v>
      </c>
    </row>
    <row r="21" spans="1:10" ht="15.6">
      <c r="A21" s="161"/>
      <c r="B21" s="107"/>
      <c r="C21" s="108"/>
      <c r="D21" s="109"/>
      <c r="E21" s="123"/>
      <c r="F21" s="123"/>
      <c r="G21" s="124"/>
      <c r="H21" s="125"/>
      <c r="J21" s="100"/>
    </row>
    <row r="22" spans="1:10" ht="15.6">
      <c r="A22" s="106"/>
      <c r="B22" s="107" t="s">
        <v>27</v>
      </c>
      <c r="C22" s="108"/>
      <c r="D22" s="109"/>
      <c r="E22" s="123"/>
      <c r="F22" s="123"/>
      <c r="G22" s="124"/>
      <c r="H22" s="125"/>
      <c r="J22" s="100"/>
    </row>
    <row r="23" spans="1:10" ht="15.6">
      <c r="A23" s="106"/>
      <c r="B23" s="107" t="s">
        <v>28</v>
      </c>
      <c r="C23" s="108"/>
      <c r="D23" s="109"/>
      <c r="E23" s="123"/>
      <c r="F23" s="123"/>
      <c r="G23" s="124"/>
      <c r="H23" s="125"/>
      <c r="J23" s="100"/>
    </row>
    <row r="24" spans="1:10" ht="15.6">
      <c r="A24" s="106"/>
      <c r="B24" s="162" t="s">
        <v>29</v>
      </c>
      <c r="C24" s="108"/>
      <c r="D24" s="109"/>
      <c r="E24" s="123"/>
      <c r="F24" s="123"/>
      <c r="G24" s="124"/>
      <c r="H24" s="125"/>
      <c r="J24" s="100"/>
    </row>
    <row r="25" spans="1:10" ht="15.6">
      <c r="A25" s="106"/>
      <c r="B25" s="107" t="s">
        <v>30</v>
      </c>
      <c r="C25" s="108"/>
      <c r="D25" s="109"/>
      <c r="E25" s="123"/>
      <c r="F25" s="123"/>
      <c r="G25" s="124"/>
      <c r="H25" s="125"/>
      <c r="J25" s="100"/>
    </row>
    <row r="26" spans="1:10" ht="15.6">
      <c r="A26" s="106"/>
      <c r="B26" s="107" t="s">
        <v>31</v>
      </c>
      <c r="C26" s="108"/>
      <c r="D26" s="109"/>
      <c r="E26" s="123"/>
      <c r="F26" s="123"/>
      <c r="G26" s="124"/>
      <c r="H26" s="125"/>
      <c r="J26" s="100"/>
    </row>
    <row r="27" spans="1:10" ht="15.6">
      <c r="A27" s="106"/>
      <c r="B27" s="107" t="s">
        <v>32</v>
      </c>
      <c r="C27" s="108"/>
      <c r="D27" s="109"/>
      <c r="E27" s="123"/>
      <c r="F27" s="123"/>
      <c r="G27" s="124"/>
      <c r="H27" s="125"/>
      <c r="J27" s="100"/>
    </row>
    <row r="28" spans="1:10" ht="15.6">
      <c r="A28" s="106"/>
      <c r="B28" s="107" t="s">
        <v>33</v>
      </c>
      <c r="C28" s="108"/>
      <c r="D28" s="109"/>
      <c r="E28" s="123"/>
      <c r="F28" s="123"/>
      <c r="G28" s="124"/>
      <c r="H28" s="125"/>
      <c r="J28" s="100"/>
    </row>
    <row r="29" spans="1:10" ht="17.399999999999999">
      <c r="A29" s="188" t="s">
        <v>34</v>
      </c>
      <c r="B29" s="189"/>
      <c r="C29" s="190"/>
      <c r="D29" s="163"/>
      <c r="E29" s="189" t="s">
        <v>35</v>
      </c>
      <c r="F29" s="189"/>
      <c r="G29" s="191"/>
      <c r="H29" s="192"/>
      <c r="J29" s="100"/>
    </row>
    <row r="30" spans="1:10" ht="15.6">
      <c r="A30" s="106"/>
      <c r="B30" s="107"/>
      <c r="C30" s="108"/>
      <c r="D30" s="109"/>
      <c r="E30" s="123"/>
      <c r="F30" s="123"/>
      <c r="G30" s="124"/>
      <c r="H30" s="125"/>
      <c r="J30" s="100"/>
    </row>
    <row r="31" spans="1:10" ht="15.6">
      <c r="A31" s="106"/>
      <c r="B31" s="107"/>
      <c r="C31" s="108"/>
      <c r="D31" s="109"/>
      <c r="E31" s="123"/>
      <c r="F31" s="123"/>
      <c r="G31" s="124"/>
      <c r="H31" s="125"/>
      <c r="J31" s="100"/>
    </row>
    <row r="32" spans="1:10" ht="15.6">
      <c r="A32" s="106"/>
      <c r="B32" s="107"/>
      <c r="C32" s="108"/>
      <c r="D32" s="109"/>
      <c r="E32" s="123"/>
      <c r="F32" s="123"/>
      <c r="G32" s="124"/>
      <c r="H32" s="125"/>
    </row>
    <row r="33" spans="1:8" ht="15.6">
      <c r="A33" s="106"/>
      <c r="B33" s="107"/>
      <c r="C33" s="108"/>
      <c r="D33" s="109"/>
      <c r="E33" s="123"/>
      <c r="F33" s="123"/>
      <c r="G33" s="124"/>
      <c r="H33" s="125"/>
    </row>
    <row r="34" spans="1:8" ht="15.6">
      <c r="A34" s="164"/>
      <c r="B34" s="165"/>
      <c r="C34" s="166"/>
      <c r="D34" s="167"/>
      <c r="E34" s="168"/>
      <c r="F34" s="168"/>
      <c r="G34" s="169"/>
      <c r="H34" s="170"/>
    </row>
  </sheetData>
  <mergeCells count="12">
    <mergeCell ref="A1:H1"/>
    <mergeCell ref="B5:H5"/>
    <mergeCell ref="B9:H9"/>
    <mergeCell ref="B11:C11"/>
    <mergeCell ref="A29:C29"/>
    <mergeCell ref="E29:H29"/>
    <mergeCell ref="A11:A12"/>
    <mergeCell ref="D11:D12"/>
    <mergeCell ref="E11:E12"/>
    <mergeCell ref="F11:F12"/>
    <mergeCell ref="G11:G12"/>
    <mergeCell ref="H11:H1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workbookViewId="0">
      <selection activeCell="C14" sqref="C14"/>
    </sheetView>
  </sheetViews>
  <sheetFormatPr defaultColWidth="9.109375" defaultRowHeight="14.4"/>
  <cols>
    <col min="1" max="1" width="8.44140625" style="99" customWidth="1"/>
    <col min="2" max="2" width="24.77734375" style="99" customWidth="1"/>
    <col min="3" max="3" width="42" style="101" customWidth="1"/>
    <col min="4" max="4" width="10.5546875" style="102" customWidth="1"/>
    <col min="5" max="5" width="9.21875" style="103" customWidth="1"/>
    <col min="6" max="6" width="11.21875" style="103" customWidth="1"/>
    <col min="7" max="7" width="11.88671875" style="104" customWidth="1"/>
    <col min="8" max="8" width="11.44140625" style="105" customWidth="1"/>
    <col min="9" max="9" width="9.109375" style="99"/>
    <col min="10" max="10" width="11.109375" style="99"/>
    <col min="11" max="16377" width="9.109375" style="99"/>
    <col min="16378" max="16378" width="9.33203125" style="99"/>
    <col min="16379" max="16384" width="9.109375" style="99"/>
  </cols>
  <sheetData>
    <row r="1" spans="1:10" ht="23.25" customHeight="1">
      <c r="A1" s="173" t="s">
        <v>0</v>
      </c>
      <c r="B1" s="174"/>
      <c r="C1" s="174"/>
      <c r="D1" s="174"/>
      <c r="E1" s="174"/>
      <c r="F1" s="174"/>
      <c r="G1" s="174"/>
      <c r="H1" s="175"/>
    </row>
    <row r="2" spans="1:10" ht="15.6">
      <c r="A2" s="106"/>
      <c r="B2" s="107"/>
      <c r="C2" s="108"/>
      <c r="D2" s="109"/>
      <c r="E2" s="110" t="s">
        <v>47</v>
      </c>
      <c r="F2" s="111"/>
      <c r="G2" s="112"/>
      <c r="H2" s="113"/>
    </row>
    <row r="3" spans="1:10" ht="15.6">
      <c r="A3" s="106"/>
      <c r="B3" s="107"/>
      <c r="C3" s="108"/>
      <c r="D3" s="109"/>
      <c r="E3" s="110" t="s">
        <v>2</v>
      </c>
      <c r="F3" s="114">
        <v>45869</v>
      </c>
      <c r="G3" s="112"/>
      <c r="H3" s="113"/>
    </row>
    <row r="4" spans="1:10" ht="15.6">
      <c r="A4" s="115" t="s">
        <v>3</v>
      </c>
      <c r="B4" s="116" t="s">
        <v>4</v>
      </c>
      <c r="C4" s="117"/>
      <c r="D4" s="118"/>
      <c r="E4" s="119"/>
      <c r="F4" s="119"/>
      <c r="G4" s="120"/>
      <c r="H4" s="121"/>
    </row>
    <row r="5" spans="1:10" s="100" customFormat="1" ht="34.5" customHeight="1">
      <c r="A5" s="122"/>
      <c r="B5" s="176" t="s">
        <v>5</v>
      </c>
      <c r="C5" s="176"/>
      <c r="D5" s="177"/>
      <c r="E5" s="178"/>
      <c r="F5" s="178"/>
      <c r="G5" s="179"/>
      <c r="H5" s="180"/>
    </row>
    <row r="6" spans="1:10" ht="15.6">
      <c r="A6" s="106"/>
      <c r="B6" s="107" t="s">
        <v>6</v>
      </c>
      <c r="C6" s="108"/>
      <c r="D6" s="109"/>
      <c r="E6" s="123"/>
      <c r="F6" s="123"/>
      <c r="G6" s="124"/>
      <c r="H6" s="125"/>
    </row>
    <row r="7" spans="1:10" ht="15.6">
      <c r="A7" s="126"/>
      <c r="B7" s="127" t="s">
        <v>7</v>
      </c>
      <c r="C7" s="128"/>
      <c r="D7" s="129"/>
      <c r="E7" s="130"/>
      <c r="F7" s="130"/>
      <c r="G7" s="131"/>
      <c r="H7" s="132"/>
    </row>
    <row r="8" spans="1:10" s="100" customFormat="1" ht="20.25" customHeight="1">
      <c r="A8" s="133" t="s">
        <v>8</v>
      </c>
      <c r="B8" s="134" t="s">
        <v>9</v>
      </c>
      <c r="C8" s="135"/>
      <c r="D8" s="136"/>
      <c r="E8" s="137"/>
      <c r="F8" s="137"/>
      <c r="G8" s="138"/>
      <c r="H8" s="139"/>
    </row>
    <row r="9" spans="1:10" s="100" customFormat="1" ht="37.5" customHeight="1">
      <c r="A9" s="140"/>
      <c r="B9" s="181" t="s">
        <v>10</v>
      </c>
      <c r="C9" s="181"/>
      <c r="D9" s="182"/>
      <c r="E9" s="183"/>
      <c r="F9" s="183"/>
      <c r="G9" s="184"/>
      <c r="H9" s="185"/>
    </row>
    <row r="10" spans="1:10" s="100" customFormat="1" ht="27.75" customHeight="1">
      <c r="A10" s="141" t="s">
        <v>11</v>
      </c>
      <c r="B10" s="142"/>
      <c r="C10" s="143"/>
      <c r="D10" s="144"/>
      <c r="E10" s="145"/>
      <c r="F10" s="145"/>
      <c r="G10" s="146"/>
      <c r="H10" s="113"/>
    </row>
    <row r="11" spans="1:10" s="100" customFormat="1" ht="15.6">
      <c r="A11" s="193" t="s">
        <v>12</v>
      </c>
      <c r="B11" s="186" t="s">
        <v>13</v>
      </c>
      <c r="C11" s="187"/>
      <c r="D11" s="195" t="s">
        <v>14</v>
      </c>
      <c r="E11" s="197" t="s">
        <v>15</v>
      </c>
      <c r="F11" s="197" t="s">
        <v>16</v>
      </c>
      <c r="G11" s="199" t="s">
        <v>17</v>
      </c>
      <c r="H11" s="201" t="s">
        <v>18</v>
      </c>
    </row>
    <row r="12" spans="1:10" s="100" customFormat="1" ht="15.6">
      <c r="A12" s="194"/>
      <c r="B12" s="147" t="s">
        <v>19</v>
      </c>
      <c r="C12" s="148" t="s">
        <v>20</v>
      </c>
      <c r="D12" s="196"/>
      <c r="E12" s="198"/>
      <c r="F12" s="198"/>
      <c r="G12" s="200"/>
      <c r="H12" s="202"/>
    </row>
    <row r="13" spans="1:10" s="100" customFormat="1">
      <c r="A13" s="149">
        <v>1</v>
      </c>
      <c r="B13" s="150" t="s">
        <v>48</v>
      </c>
      <c r="C13" s="151" t="s">
        <v>49</v>
      </c>
      <c r="D13" s="151">
        <v>10</v>
      </c>
      <c r="E13" s="152" t="s">
        <v>23</v>
      </c>
      <c r="F13" s="151" t="s">
        <v>24</v>
      </c>
      <c r="G13" s="153">
        <v>40.4619</v>
      </c>
      <c r="H13" s="154">
        <f>G13*D13</f>
        <v>404.61900000000003</v>
      </c>
    </row>
    <row r="14" spans="1:10" s="100" customFormat="1">
      <c r="A14" s="149">
        <v>2</v>
      </c>
      <c r="B14" s="155" t="s">
        <v>50</v>
      </c>
      <c r="C14" s="151" t="s">
        <v>49</v>
      </c>
      <c r="D14" s="151">
        <v>30</v>
      </c>
      <c r="E14" s="152" t="s">
        <v>23</v>
      </c>
      <c r="F14" s="151" t="s">
        <v>24</v>
      </c>
      <c r="G14" s="153">
        <v>19.325099999999999</v>
      </c>
      <c r="H14" s="154">
        <f>G14*D14</f>
        <v>579.75299999999993</v>
      </c>
    </row>
    <row r="15" spans="1:10" s="100" customFormat="1" ht="20.25" customHeight="1">
      <c r="A15" s="156"/>
      <c r="B15" s="148"/>
      <c r="C15" s="148"/>
      <c r="D15" s="157">
        <f>SUM(D13:D14)</f>
        <v>40</v>
      </c>
      <c r="E15" s="158"/>
      <c r="F15" s="159"/>
      <c r="G15" s="160"/>
      <c r="H15" s="157">
        <f>SUM(H13:H14)</f>
        <v>984.37199999999996</v>
      </c>
    </row>
    <row r="16" spans="1:10" ht="15.6">
      <c r="A16" s="161"/>
      <c r="B16" s="107"/>
      <c r="C16" s="108"/>
      <c r="D16" s="109"/>
      <c r="E16" s="123"/>
      <c r="F16" s="123"/>
      <c r="G16" s="124"/>
      <c r="H16" s="125"/>
      <c r="J16" s="100"/>
    </row>
    <row r="17" spans="1:10" ht="15.6">
      <c r="A17" s="106"/>
      <c r="B17" s="107" t="s">
        <v>27</v>
      </c>
      <c r="C17" s="108"/>
      <c r="D17" s="109"/>
      <c r="E17" s="123"/>
      <c r="F17" s="123"/>
      <c r="G17" s="124"/>
      <c r="H17" s="125"/>
      <c r="J17" s="100"/>
    </row>
    <row r="18" spans="1:10" ht="15.6">
      <c r="A18" s="106"/>
      <c r="B18" s="107" t="s">
        <v>28</v>
      </c>
      <c r="C18" s="108"/>
      <c r="D18" s="109"/>
      <c r="E18" s="123"/>
      <c r="F18" s="123"/>
      <c r="G18" s="124"/>
      <c r="H18" s="125"/>
      <c r="J18" s="100"/>
    </row>
    <row r="19" spans="1:10" ht="15.6">
      <c r="A19" s="106"/>
      <c r="B19" s="162" t="s">
        <v>29</v>
      </c>
      <c r="C19" s="108"/>
      <c r="D19" s="109"/>
      <c r="E19" s="123"/>
      <c r="F19" s="123"/>
      <c r="G19" s="124"/>
      <c r="H19" s="125"/>
      <c r="J19" s="100"/>
    </row>
    <row r="20" spans="1:10" ht="15.6">
      <c r="A20" s="106"/>
      <c r="B20" s="107" t="s">
        <v>30</v>
      </c>
      <c r="C20" s="108"/>
      <c r="D20" s="109"/>
      <c r="E20" s="123"/>
      <c r="F20" s="123"/>
      <c r="G20" s="124"/>
      <c r="H20" s="125"/>
      <c r="J20" s="100"/>
    </row>
    <row r="21" spans="1:10" ht="15.6">
      <c r="A21" s="106"/>
      <c r="B21" s="107" t="s">
        <v>31</v>
      </c>
      <c r="C21" s="108"/>
      <c r="D21" s="109"/>
      <c r="E21" s="123"/>
      <c r="F21" s="123"/>
      <c r="G21" s="124"/>
      <c r="H21" s="125"/>
      <c r="J21" s="100"/>
    </row>
    <row r="22" spans="1:10" ht="15.6">
      <c r="A22" s="106"/>
      <c r="B22" s="107" t="s">
        <v>32</v>
      </c>
      <c r="C22" s="108"/>
      <c r="D22" s="109"/>
      <c r="E22" s="123"/>
      <c r="F22" s="123"/>
      <c r="G22" s="124"/>
      <c r="H22" s="125"/>
      <c r="J22" s="100"/>
    </row>
    <row r="23" spans="1:10" ht="15.6">
      <c r="A23" s="106"/>
      <c r="B23" s="107" t="s">
        <v>33</v>
      </c>
      <c r="C23" s="108"/>
      <c r="D23" s="109"/>
      <c r="E23" s="123"/>
      <c r="F23" s="123"/>
      <c r="G23" s="124"/>
      <c r="H23" s="125"/>
      <c r="J23" s="100"/>
    </row>
    <row r="24" spans="1:10" ht="17.399999999999999">
      <c r="A24" s="188" t="s">
        <v>34</v>
      </c>
      <c r="B24" s="189"/>
      <c r="C24" s="190"/>
      <c r="D24" s="163"/>
      <c r="E24" s="189" t="s">
        <v>35</v>
      </c>
      <c r="F24" s="189"/>
      <c r="G24" s="191"/>
      <c r="H24" s="192"/>
      <c r="J24" s="100"/>
    </row>
    <row r="25" spans="1:10" ht="15.6">
      <c r="A25" s="106"/>
      <c r="B25" s="107"/>
      <c r="C25" s="108"/>
      <c r="D25" s="109"/>
      <c r="E25" s="123"/>
      <c r="F25" s="123"/>
      <c r="G25" s="124"/>
      <c r="H25" s="125"/>
      <c r="J25" s="100"/>
    </row>
    <row r="26" spans="1:10" ht="15.6">
      <c r="A26" s="106"/>
      <c r="B26" s="107"/>
      <c r="C26" s="108"/>
      <c r="D26" s="109"/>
      <c r="E26" s="123"/>
      <c r="F26" s="123"/>
      <c r="G26" s="124"/>
      <c r="H26" s="125"/>
      <c r="J26" s="100"/>
    </row>
    <row r="27" spans="1:10" ht="15.6">
      <c r="A27" s="106"/>
      <c r="B27" s="107"/>
      <c r="C27" s="108"/>
      <c r="D27" s="109"/>
      <c r="E27" s="123"/>
      <c r="F27" s="123"/>
      <c r="G27" s="124"/>
      <c r="H27" s="125"/>
    </row>
    <row r="28" spans="1:10" ht="15.6">
      <c r="A28" s="106"/>
      <c r="B28" s="107"/>
      <c r="C28" s="108"/>
      <c r="D28" s="109"/>
      <c r="E28" s="123"/>
      <c r="F28" s="123"/>
      <c r="G28" s="124"/>
      <c r="H28" s="125"/>
    </row>
    <row r="29" spans="1:10" ht="15.6">
      <c r="A29" s="164"/>
      <c r="B29" s="165"/>
      <c r="C29" s="166"/>
      <c r="D29" s="167"/>
      <c r="E29" s="168"/>
      <c r="F29" s="168"/>
      <c r="G29" s="169"/>
      <c r="H29" s="170"/>
    </row>
  </sheetData>
  <mergeCells count="12">
    <mergeCell ref="A1:H1"/>
    <mergeCell ref="B5:H5"/>
    <mergeCell ref="B9:H9"/>
    <mergeCell ref="B11:C11"/>
    <mergeCell ref="A24:C24"/>
    <mergeCell ref="E24:H24"/>
    <mergeCell ref="A11:A12"/>
    <mergeCell ref="D11:D12"/>
    <mergeCell ref="E11:E12"/>
    <mergeCell ref="F11:F12"/>
    <mergeCell ref="G11:G12"/>
    <mergeCell ref="H11:H1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"/>
  <sheetViews>
    <sheetView workbookViewId="0">
      <selection activeCell="C21" sqref="C21"/>
    </sheetView>
  </sheetViews>
  <sheetFormatPr defaultColWidth="9.109375" defaultRowHeight="14.4"/>
  <cols>
    <col min="1" max="1" width="8.44140625" style="99" customWidth="1"/>
    <col min="2" max="2" width="24.77734375" style="99" customWidth="1"/>
    <col min="3" max="3" width="42" style="101" customWidth="1"/>
    <col min="4" max="4" width="10.5546875" style="102" customWidth="1"/>
    <col min="5" max="5" width="9.21875" style="103" customWidth="1"/>
    <col min="6" max="6" width="11.21875" style="103" customWidth="1"/>
    <col min="7" max="7" width="11.88671875" style="104" customWidth="1"/>
    <col min="8" max="8" width="11.44140625" style="105" customWidth="1"/>
    <col min="9" max="9" width="9.109375" style="99"/>
    <col min="10" max="10" width="11.109375" style="99"/>
    <col min="11" max="16377" width="9.109375" style="99"/>
    <col min="16378" max="16378" width="9.33203125" style="99"/>
    <col min="16379" max="16384" width="9.109375" style="99"/>
  </cols>
  <sheetData>
    <row r="1" spans="1:8" ht="23.25" customHeight="1">
      <c r="A1" s="173" t="s">
        <v>0</v>
      </c>
      <c r="B1" s="174"/>
      <c r="C1" s="174"/>
      <c r="D1" s="174"/>
      <c r="E1" s="174"/>
      <c r="F1" s="174"/>
      <c r="G1" s="174"/>
      <c r="H1" s="175"/>
    </row>
    <row r="2" spans="1:8" ht="15.6">
      <c r="A2" s="106"/>
      <c r="B2" s="107"/>
      <c r="C2" s="108"/>
      <c r="D2" s="109"/>
      <c r="E2" s="110" t="s">
        <v>51</v>
      </c>
      <c r="F2" s="111"/>
      <c r="G2" s="112"/>
      <c r="H2" s="113"/>
    </row>
    <row r="3" spans="1:8" ht="15.6">
      <c r="A3" s="106"/>
      <c r="B3" s="107"/>
      <c r="C3" s="108"/>
      <c r="D3" s="109"/>
      <c r="E3" s="110" t="s">
        <v>2</v>
      </c>
      <c r="F3" s="114">
        <v>45863</v>
      </c>
      <c r="G3" s="112"/>
      <c r="H3" s="113"/>
    </row>
    <row r="4" spans="1:8" ht="15.6">
      <c r="A4" s="115" t="s">
        <v>3</v>
      </c>
      <c r="B4" s="116" t="s">
        <v>4</v>
      </c>
      <c r="C4" s="117"/>
      <c r="D4" s="118"/>
      <c r="E4" s="119"/>
      <c r="F4" s="119"/>
      <c r="G4" s="120"/>
      <c r="H4" s="121"/>
    </row>
    <row r="5" spans="1:8" s="100" customFormat="1" ht="34.5" customHeight="1">
      <c r="A5" s="122"/>
      <c r="B5" s="176" t="s">
        <v>5</v>
      </c>
      <c r="C5" s="176"/>
      <c r="D5" s="177"/>
      <c r="E5" s="178"/>
      <c r="F5" s="178"/>
      <c r="G5" s="179"/>
      <c r="H5" s="180"/>
    </row>
    <row r="6" spans="1:8" ht="15.6">
      <c r="A6" s="106"/>
      <c r="B6" s="107" t="s">
        <v>6</v>
      </c>
      <c r="C6" s="108"/>
      <c r="D6" s="109"/>
      <c r="E6" s="123"/>
      <c r="F6" s="123"/>
      <c r="G6" s="124"/>
      <c r="H6" s="125"/>
    </row>
    <row r="7" spans="1:8" ht="15.6">
      <c r="A7" s="126"/>
      <c r="B7" s="127" t="s">
        <v>7</v>
      </c>
      <c r="C7" s="128"/>
      <c r="D7" s="129"/>
      <c r="E7" s="130"/>
      <c r="F7" s="130"/>
      <c r="G7" s="131"/>
      <c r="H7" s="132"/>
    </row>
    <row r="8" spans="1:8" s="100" customFormat="1" ht="20.25" customHeight="1">
      <c r="A8" s="133" t="s">
        <v>8</v>
      </c>
      <c r="B8" s="134" t="s">
        <v>9</v>
      </c>
      <c r="C8" s="135"/>
      <c r="D8" s="136"/>
      <c r="E8" s="137"/>
      <c r="F8" s="137"/>
      <c r="G8" s="138"/>
      <c r="H8" s="139"/>
    </row>
    <row r="9" spans="1:8" s="100" customFormat="1" ht="37.5" customHeight="1">
      <c r="A9" s="140"/>
      <c r="B9" s="181" t="s">
        <v>10</v>
      </c>
      <c r="C9" s="181"/>
      <c r="D9" s="182"/>
      <c r="E9" s="183"/>
      <c r="F9" s="183"/>
      <c r="G9" s="184"/>
      <c r="H9" s="185"/>
    </row>
    <row r="10" spans="1:8" s="100" customFormat="1" ht="27.75" customHeight="1">
      <c r="A10" s="141" t="s">
        <v>11</v>
      </c>
      <c r="B10" s="142"/>
      <c r="C10" s="143"/>
      <c r="D10" s="144"/>
      <c r="E10" s="145"/>
      <c r="F10" s="145"/>
      <c r="G10" s="146"/>
      <c r="H10" s="113"/>
    </row>
    <row r="11" spans="1:8" s="100" customFormat="1" ht="15.6">
      <c r="A11" s="193" t="s">
        <v>12</v>
      </c>
      <c r="B11" s="186" t="s">
        <v>13</v>
      </c>
      <c r="C11" s="187"/>
      <c r="D11" s="195" t="s">
        <v>14</v>
      </c>
      <c r="E11" s="197" t="s">
        <v>15</v>
      </c>
      <c r="F11" s="197" t="s">
        <v>16</v>
      </c>
      <c r="G11" s="199" t="s">
        <v>17</v>
      </c>
      <c r="H11" s="201" t="s">
        <v>18</v>
      </c>
    </row>
    <row r="12" spans="1:8" s="100" customFormat="1" ht="15.6">
      <c r="A12" s="194"/>
      <c r="B12" s="147" t="s">
        <v>19</v>
      </c>
      <c r="C12" s="148" t="s">
        <v>20</v>
      </c>
      <c r="D12" s="196"/>
      <c r="E12" s="198"/>
      <c r="F12" s="198"/>
      <c r="G12" s="200"/>
      <c r="H12" s="202"/>
    </row>
    <row r="13" spans="1:8" s="100" customFormat="1">
      <c r="A13" s="149">
        <v>1</v>
      </c>
      <c r="B13" s="150" t="s">
        <v>52</v>
      </c>
      <c r="C13" s="151" t="s">
        <v>53</v>
      </c>
      <c r="D13" s="151">
        <v>4</v>
      </c>
      <c r="E13" s="152" t="s">
        <v>23</v>
      </c>
      <c r="F13" s="151" t="s">
        <v>24</v>
      </c>
      <c r="G13" s="153">
        <v>13.360799999999999</v>
      </c>
      <c r="H13" s="154">
        <f>G13*D13</f>
        <v>53.443199999999997</v>
      </c>
    </row>
    <row r="14" spans="1:8" s="100" customFormat="1">
      <c r="A14" s="149">
        <v>2</v>
      </c>
      <c r="B14" s="155" t="s">
        <v>54</v>
      </c>
      <c r="C14" s="151" t="s">
        <v>53</v>
      </c>
      <c r="D14" s="151">
        <v>4</v>
      </c>
      <c r="E14" s="152" t="s">
        <v>23</v>
      </c>
      <c r="F14" s="151" t="s">
        <v>24</v>
      </c>
      <c r="G14" s="153">
        <v>3.3401999999999998</v>
      </c>
      <c r="H14" s="154">
        <f>G14*D14</f>
        <v>13.360799999999999</v>
      </c>
    </row>
    <row r="15" spans="1:8" s="100" customFormat="1">
      <c r="A15" s="149">
        <v>3</v>
      </c>
      <c r="B15" s="155" t="s">
        <v>55</v>
      </c>
      <c r="C15" s="151" t="s">
        <v>56</v>
      </c>
      <c r="D15" s="151">
        <v>14</v>
      </c>
      <c r="E15" s="152" t="s">
        <v>23</v>
      </c>
      <c r="F15" s="151" t="s">
        <v>24</v>
      </c>
      <c r="G15" s="153">
        <v>264.54399999999998</v>
      </c>
      <c r="H15" s="154">
        <f>G15*D15</f>
        <v>3703.616</v>
      </c>
    </row>
    <row r="16" spans="1:8" s="100" customFormat="1" ht="20.25" customHeight="1">
      <c r="A16" s="156"/>
      <c r="B16" s="148"/>
      <c r="C16" s="148"/>
      <c r="D16" s="157">
        <f>SUM(D13:D15)</f>
        <v>22</v>
      </c>
      <c r="E16" s="158"/>
      <c r="F16" s="159"/>
      <c r="G16" s="160"/>
      <c r="H16" s="157">
        <f>SUM(H13:H15)</f>
        <v>3770.42</v>
      </c>
    </row>
    <row r="17" spans="1:10" ht="15.6">
      <c r="A17" s="161"/>
      <c r="B17" s="107"/>
      <c r="C17" s="108"/>
      <c r="D17" s="109"/>
      <c r="E17" s="123"/>
      <c r="F17" s="123"/>
      <c r="G17" s="124"/>
      <c r="H17" s="125"/>
      <c r="J17" s="100"/>
    </row>
    <row r="18" spans="1:10" ht="15.6">
      <c r="A18" s="106"/>
      <c r="B18" s="107" t="s">
        <v>27</v>
      </c>
      <c r="C18" s="108"/>
      <c r="D18" s="109"/>
      <c r="E18" s="123"/>
      <c r="F18" s="123"/>
      <c r="G18" s="124"/>
      <c r="H18" s="125"/>
      <c r="J18" s="100"/>
    </row>
    <row r="19" spans="1:10" ht="15.6">
      <c r="A19" s="106"/>
      <c r="B19" s="107" t="s">
        <v>28</v>
      </c>
      <c r="C19" s="108"/>
      <c r="D19" s="109"/>
      <c r="E19" s="123"/>
      <c r="F19" s="123"/>
      <c r="G19" s="124"/>
      <c r="H19" s="125"/>
      <c r="J19" s="100"/>
    </row>
    <row r="20" spans="1:10" ht="15.6">
      <c r="A20" s="106"/>
      <c r="B20" s="162" t="s">
        <v>29</v>
      </c>
      <c r="C20" s="108"/>
      <c r="D20" s="109"/>
      <c r="E20" s="123"/>
      <c r="F20" s="123"/>
      <c r="G20" s="124"/>
      <c r="H20" s="125"/>
      <c r="J20" s="100"/>
    </row>
    <row r="21" spans="1:10" ht="15.6">
      <c r="A21" s="106"/>
      <c r="B21" s="107" t="s">
        <v>30</v>
      </c>
      <c r="C21" s="108"/>
      <c r="D21" s="109"/>
      <c r="E21" s="123"/>
      <c r="F21" s="123"/>
      <c r="G21" s="124"/>
      <c r="H21" s="125"/>
      <c r="J21" s="100"/>
    </row>
    <row r="22" spans="1:10" ht="15.6">
      <c r="A22" s="106"/>
      <c r="B22" s="107" t="s">
        <v>31</v>
      </c>
      <c r="C22" s="108"/>
      <c r="D22" s="109"/>
      <c r="E22" s="123"/>
      <c r="F22" s="123"/>
      <c r="G22" s="124"/>
      <c r="H22" s="125"/>
      <c r="J22" s="100"/>
    </row>
    <row r="23" spans="1:10" ht="15.6">
      <c r="A23" s="106"/>
      <c r="B23" s="107" t="s">
        <v>32</v>
      </c>
      <c r="C23" s="108"/>
      <c r="D23" s="109"/>
      <c r="E23" s="123"/>
      <c r="F23" s="123"/>
      <c r="G23" s="124"/>
      <c r="H23" s="125"/>
      <c r="J23" s="100"/>
    </row>
    <row r="24" spans="1:10" ht="15.6">
      <c r="A24" s="106"/>
      <c r="B24" s="107" t="s">
        <v>33</v>
      </c>
      <c r="C24" s="108"/>
      <c r="D24" s="109"/>
      <c r="E24" s="123"/>
      <c r="F24" s="123"/>
      <c r="G24" s="124"/>
      <c r="H24" s="125"/>
      <c r="J24" s="100"/>
    </row>
    <row r="25" spans="1:10" ht="17.399999999999999">
      <c r="A25" s="188" t="s">
        <v>34</v>
      </c>
      <c r="B25" s="189"/>
      <c r="C25" s="190"/>
      <c r="D25" s="163"/>
      <c r="E25" s="189" t="s">
        <v>35</v>
      </c>
      <c r="F25" s="189"/>
      <c r="G25" s="191"/>
      <c r="H25" s="192"/>
      <c r="J25" s="100"/>
    </row>
    <row r="26" spans="1:10" ht="15.6">
      <c r="A26" s="106"/>
      <c r="B26" s="107"/>
      <c r="C26" s="108"/>
      <c r="D26" s="109"/>
      <c r="E26" s="123"/>
      <c r="F26" s="123"/>
      <c r="G26" s="124"/>
      <c r="H26" s="125"/>
      <c r="J26" s="100"/>
    </row>
    <row r="27" spans="1:10" ht="15.6">
      <c r="A27" s="106"/>
      <c r="B27" s="107"/>
      <c r="C27" s="108"/>
      <c r="D27" s="109"/>
      <c r="E27" s="123"/>
      <c r="F27" s="123"/>
      <c r="G27" s="124"/>
      <c r="H27" s="125"/>
      <c r="J27" s="100"/>
    </row>
    <row r="28" spans="1:10" ht="15.6">
      <c r="A28" s="106"/>
      <c r="B28" s="107"/>
      <c r="C28" s="108"/>
      <c r="D28" s="109"/>
      <c r="E28" s="123"/>
      <c r="F28" s="123"/>
      <c r="G28" s="124"/>
      <c r="H28" s="125"/>
    </row>
    <row r="29" spans="1:10" ht="15.6">
      <c r="A29" s="106"/>
      <c r="B29" s="107"/>
      <c r="C29" s="108"/>
      <c r="D29" s="109"/>
      <c r="E29" s="123"/>
      <c r="F29" s="123"/>
      <c r="G29" s="124"/>
      <c r="H29" s="125"/>
    </row>
    <row r="30" spans="1:10" ht="15.6">
      <c r="A30" s="164"/>
      <c r="B30" s="165"/>
      <c r="C30" s="166"/>
      <c r="D30" s="167"/>
      <c r="E30" s="168"/>
      <c r="F30" s="168"/>
      <c r="G30" s="169"/>
      <c r="H30" s="170"/>
    </row>
  </sheetData>
  <mergeCells count="12">
    <mergeCell ref="A1:H1"/>
    <mergeCell ref="B5:H5"/>
    <mergeCell ref="B9:H9"/>
    <mergeCell ref="B11:C11"/>
    <mergeCell ref="A25:C25"/>
    <mergeCell ref="E25:H25"/>
    <mergeCell ref="A11:A12"/>
    <mergeCell ref="D11:D12"/>
    <mergeCell ref="E11:E12"/>
    <mergeCell ref="F11:F12"/>
    <mergeCell ref="G11:G12"/>
    <mergeCell ref="H11:H1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5"/>
  <sheetViews>
    <sheetView zoomScale="115" zoomScaleNormal="115" workbookViewId="0">
      <selection activeCell="C13" sqref="C13"/>
    </sheetView>
  </sheetViews>
  <sheetFormatPr defaultColWidth="9.109375" defaultRowHeight="14.4"/>
  <cols>
    <col min="1" max="1" width="8.44140625" style="99" customWidth="1"/>
    <col min="2" max="2" width="15.44140625" style="99" customWidth="1"/>
    <col min="3" max="3" width="35.44140625" style="101" customWidth="1"/>
    <col min="4" max="4" width="10.5546875" style="102" customWidth="1"/>
    <col min="5" max="5" width="9.21875" style="103" customWidth="1"/>
    <col min="6" max="6" width="11.21875" style="103" customWidth="1"/>
    <col min="7" max="7" width="11.88671875" style="104" customWidth="1"/>
    <col min="8" max="8" width="11.44140625" style="105" customWidth="1"/>
    <col min="9" max="9" width="9.109375" style="99"/>
    <col min="10" max="10" width="11.109375" style="99"/>
    <col min="11" max="16377" width="9.109375" style="99"/>
    <col min="16378" max="16378" width="9.33203125" style="99"/>
    <col min="16379" max="16384" width="9.109375" style="99"/>
  </cols>
  <sheetData>
    <row r="1" spans="1:8" ht="23.25" customHeight="1">
      <c r="A1" s="173" t="s">
        <v>0</v>
      </c>
      <c r="B1" s="174"/>
      <c r="C1" s="174"/>
      <c r="D1" s="174"/>
      <c r="E1" s="174"/>
      <c r="F1" s="174"/>
      <c r="G1" s="174"/>
      <c r="H1" s="175"/>
    </row>
    <row r="2" spans="1:8" ht="15.6">
      <c r="A2" s="106"/>
      <c r="B2" s="107"/>
      <c r="C2" s="108"/>
      <c r="D2" s="109"/>
      <c r="E2" s="110" t="s">
        <v>57</v>
      </c>
      <c r="F2" s="111"/>
      <c r="G2" s="112"/>
      <c r="H2" s="113"/>
    </row>
    <row r="3" spans="1:8" ht="15.6">
      <c r="A3" s="106"/>
      <c r="B3" s="107"/>
      <c r="C3" s="108"/>
      <c r="D3" s="109"/>
      <c r="E3" s="110" t="s">
        <v>2</v>
      </c>
      <c r="F3" s="114">
        <v>45869</v>
      </c>
      <c r="G3" s="112"/>
      <c r="H3" s="113"/>
    </row>
    <row r="4" spans="1:8" ht="15.6">
      <c r="A4" s="115" t="s">
        <v>3</v>
      </c>
      <c r="B4" s="116" t="s">
        <v>4</v>
      </c>
      <c r="C4" s="117"/>
      <c r="D4" s="118"/>
      <c r="E4" s="119"/>
      <c r="F4" s="119"/>
      <c r="G4" s="120"/>
      <c r="H4" s="121"/>
    </row>
    <row r="5" spans="1:8" s="100" customFormat="1" ht="34.5" customHeight="1">
      <c r="A5" s="122"/>
      <c r="B5" s="176" t="s">
        <v>5</v>
      </c>
      <c r="C5" s="176"/>
      <c r="D5" s="177"/>
      <c r="E5" s="178"/>
      <c r="F5" s="178"/>
      <c r="G5" s="179"/>
      <c r="H5" s="180"/>
    </row>
    <row r="6" spans="1:8" ht="15.6">
      <c r="A6" s="106"/>
      <c r="B6" s="107" t="s">
        <v>6</v>
      </c>
      <c r="C6" s="108"/>
      <c r="D6" s="109"/>
      <c r="E6" s="123"/>
      <c r="F6" s="123"/>
      <c r="G6" s="124"/>
      <c r="H6" s="125"/>
    </row>
    <row r="7" spans="1:8" ht="15.6">
      <c r="A7" s="126"/>
      <c r="B7" s="127" t="s">
        <v>7</v>
      </c>
      <c r="C7" s="128"/>
      <c r="D7" s="129"/>
      <c r="E7" s="130"/>
      <c r="F7" s="130"/>
      <c r="G7" s="131"/>
      <c r="H7" s="132"/>
    </row>
    <row r="8" spans="1:8" s="100" customFormat="1" ht="20.25" customHeight="1">
      <c r="A8" s="133" t="s">
        <v>8</v>
      </c>
      <c r="B8" s="134" t="s">
        <v>9</v>
      </c>
      <c r="C8" s="135"/>
      <c r="D8" s="136"/>
      <c r="E8" s="137"/>
      <c r="F8" s="137"/>
      <c r="G8" s="138"/>
      <c r="H8" s="139"/>
    </row>
    <row r="9" spans="1:8" s="100" customFormat="1" ht="37.5" customHeight="1">
      <c r="A9" s="140"/>
      <c r="B9" s="181" t="s">
        <v>10</v>
      </c>
      <c r="C9" s="181"/>
      <c r="D9" s="182"/>
      <c r="E9" s="183"/>
      <c r="F9" s="183"/>
      <c r="G9" s="184"/>
      <c r="H9" s="185"/>
    </row>
    <row r="10" spans="1:8" s="100" customFormat="1" ht="27.75" customHeight="1">
      <c r="A10" s="141" t="s">
        <v>11</v>
      </c>
      <c r="B10" s="142"/>
      <c r="C10" s="143"/>
      <c r="D10" s="144"/>
      <c r="E10" s="145"/>
      <c r="F10" s="145"/>
      <c r="G10" s="146"/>
      <c r="H10" s="113"/>
    </row>
    <row r="11" spans="1:8" s="100" customFormat="1" ht="15.6">
      <c r="A11" s="193" t="s">
        <v>12</v>
      </c>
      <c r="B11" s="186" t="s">
        <v>13</v>
      </c>
      <c r="C11" s="187"/>
      <c r="D11" s="195" t="s">
        <v>14</v>
      </c>
      <c r="E11" s="197" t="s">
        <v>15</v>
      </c>
      <c r="F11" s="197" t="s">
        <v>16</v>
      </c>
      <c r="G11" s="199" t="s">
        <v>17</v>
      </c>
      <c r="H11" s="201" t="s">
        <v>18</v>
      </c>
    </row>
    <row r="12" spans="1:8" s="100" customFormat="1" ht="15.6">
      <c r="A12" s="194"/>
      <c r="B12" s="147" t="s">
        <v>19</v>
      </c>
      <c r="C12" s="148" t="s">
        <v>20</v>
      </c>
      <c r="D12" s="196"/>
      <c r="E12" s="198"/>
      <c r="F12" s="198"/>
      <c r="G12" s="200"/>
      <c r="H12" s="202"/>
    </row>
    <row r="13" spans="1:8" s="100" customFormat="1">
      <c r="A13" s="149">
        <v>1</v>
      </c>
      <c r="B13" s="150" t="s">
        <v>58</v>
      </c>
      <c r="C13" s="151" t="s">
        <v>59</v>
      </c>
      <c r="D13" s="151">
        <v>2</v>
      </c>
      <c r="E13" s="152" t="s">
        <v>23</v>
      </c>
      <c r="F13" s="151" t="s">
        <v>24</v>
      </c>
      <c r="G13" s="153">
        <v>13.360799999999999</v>
      </c>
      <c r="H13" s="154">
        <f>G13*D13</f>
        <v>26.721599999999999</v>
      </c>
    </row>
    <row r="14" spans="1:8" s="100" customFormat="1">
      <c r="A14" s="149">
        <v>2</v>
      </c>
      <c r="B14" s="155" t="s">
        <v>60</v>
      </c>
      <c r="C14" s="151" t="s">
        <v>61</v>
      </c>
      <c r="D14" s="151">
        <v>1</v>
      </c>
      <c r="E14" s="152" t="s">
        <v>23</v>
      </c>
      <c r="F14" s="151" t="s">
        <v>24</v>
      </c>
      <c r="G14" s="153">
        <v>8.0165000000000006</v>
      </c>
      <c r="H14" s="154">
        <f t="shared" ref="H14:H50" si="0">G14*D14</f>
        <v>8.0165000000000006</v>
      </c>
    </row>
    <row r="15" spans="1:8" s="100" customFormat="1">
      <c r="A15" s="149">
        <v>3</v>
      </c>
      <c r="B15" s="155" t="s">
        <v>62</v>
      </c>
      <c r="C15" s="151" t="s">
        <v>63</v>
      </c>
      <c r="D15" s="151">
        <v>1</v>
      </c>
      <c r="E15" s="152" t="s">
        <v>23</v>
      </c>
      <c r="F15" s="151" t="s">
        <v>24</v>
      </c>
      <c r="G15" s="153">
        <v>8.0165000000000006</v>
      </c>
      <c r="H15" s="154">
        <f t="shared" si="0"/>
        <v>8.0165000000000006</v>
      </c>
    </row>
    <row r="16" spans="1:8" s="100" customFormat="1">
      <c r="A16" s="149">
        <v>4</v>
      </c>
      <c r="B16" s="155" t="s">
        <v>64</v>
      </c>
      <c r="C16" s="151" t="s">
        <v>65</v>
      </c>
      <c r="D16" s="151">
        <v>1</v>
      </c>
      <c r="E16" s="152" t="s">
        <v>23</v>
      </c>
      <c r="F16" s="151" t="s">
        <v>24</v>
      </c>
      <c r="G16" s="153">
        <v>8.0165000000000006</v>
      </c>
      <c r="H16" s="154">
        <f t="shared" si="0"/>
        <v>8.0165000000000006</v>
      </c>
    </row>
    <row r="17" spans="1:8" s="100" customFormat="1">
      <c r="A17" s="149">
        <v>5</v>
      </c>
      <c r="B17" s="155" t="s">
        <v>66</v>
      </c>
      <c r="C17" s="151" t="s">
        <v>67</v>
      </c>
      <c r="D17" s="151">
        <v>1</v>
      </c>
      <c r="E17" s="152" t="s">
        <v>23</v>
      </c>
      <c r="F17" s="151" t="s">
        <v>24</v>
      </c>
      <c r="G17" s="153">
        <v>6.6803999999999997</v>
      </c>
      <c r="H17" s="154">
        <f t="shared" si="0"/>
        <v>6.6803999999999997</v>
      </c>
    </row>
    <row r="18" spans="1:8" s="100" customFormat="1" ht="26.4">
      <c r="A18" s="149">
        <v>6</v>
      </c>
      <c r="B18" s="155" t="s">
        <v>68</v>
      </c>
      <c r="C18" s="151" t="s">
        <v>69</v>
      </c>
      <c r="D18" s="151">
        <v>2</v>
      </c>
      <c r="E18" s="152" t="s">
        <v>23</v>
      </c>
      <c r="F18" s="151" t="s">
        <v>24</v>
      </c>
      <c r="G18" s="153">
        <v>8.0165000000000006</v>
      </c>
      <c r="H18" s="154">
        <f t="shared" si="0"/>
        <v>16.033000000000001</v>
      </c>
    </row>
    <row r="19" spans="1:8" s="100" customFormat="1" ht="26.4">
      <c r="A19" s="149">
        <v>7</v>
      </c>
      <c r="B19" s="155" t="s">
        <v>70</v>
      </c>
      <c r="C19" s="151" t="s">
        <v>71</v>
      </c>
      <c r="D19" s="151">
        <v>2</v>
      </c>
      <c r="E19" s="152" t="s">
        <v>23</v>
      </c>
      <c r="F19" s="151" t="s">
        <v>24</v>
      </c>
      <c r="G19" s="153">
        <v>8.0165000000000006</v>
      </c>
      <c r="H19" s="154">
        <f t="shared" si="0"/>
        <v>16.033000000000001</v>
      </c>
    </row>
    <row r="20" spans="1:8" s="100" customFormat="1" ht="26.4">
      <c r="A20" s="149">
        <v>8</v>
      </c>
      <c r="B20" s="155" t="s">
        <v>72</v>
      </c>
      <c r="C20" s="151" t="s">
        <v>73</v>
      </c>
      <c r="D20" s="151">
        <v>2</v>
      </c>
      <c r="E20" s="152" t="s">
        <v>23</v>
      </c>
      <c r="F20" s="151" t="s">
        <v>24</v>
      </c>
      <c r="G20" s="153">
        <v>8.0165000000000006</v>
      </c>
      <c r="H20" s="154">
        <f t="shared" si="0"/>
        <v>16.033000000000001</v>
      </c>
    </row>
    <row r="21" spans="1:8" s="100" customFormat="1" ht="26.4">
      <c r="A21" s="149">
        <v>9</v>
      </c>
      <c r="B21" s="155" t="s">
        <v>74</v>
      </c>
      <c r="C21" s="151" t="s">
        <v>75</v>
      </c>
      <c r="D21" s="151">
        <v>2</v>
      </c>
      <c r="E21" s="152" t="s">
        <v>23</v>
      </c>
      <c r="F21" s="151" t="s">
        <v>24</v>
      </c>
      <c r="G21" s="153">
        <v>8.0165000000000006</v>
      </c>
      <c r="H21" s="154">
        <f t="shared" si="0"/>
        <v>16.033000000000001</v>
      </c>
    </row>
    <row r="22" spans="1:8" s="100" customFormat="1">
      <c r="A22" s="149">
        <v>10</v>
      </c>
      <c r="B22" s="155" t="s">
        <v>76</v>
      </c>
      <c r="C22" s="151" t="s">
        <v>77</v>
      </c>
      <c r="D22" s="151">
        <v>1</v>
      </c>
      <c r="E22" s="152" t="s">
        <v>23</v>
      </c>
      <c r="F22" s="151" t="s">
        <v>24</v>
      </c>
      <c r="G22" s="153">
        <v>5.3442999999999996</v>
      </c>
      <c r="H22" s="154">
        <f t="shared" si="0"/>
        <v>5.3442999999999996</v>
      </c>
    </row>
    <row r="23" spans="1:8" s="100" customFormat="1" ht="26.4">
      <c r="A23" s="149">
        <v>11</v>
      </c>
      <c r="B23" s="155" t="s">
        <v>78</v>
      </c>
      <c r="C23" s="151" t="s">
        <v>79</v>
      </c>
      <c r="D23" s="151">
        <v>1</v>
      </c>
      <c r="E23" s="152" t="s">
        <v>23</v>
      </c>
      <c r="F23" s="151" t="s">
        <v>24</v>
      </c>
      <c r="G23" s="153">
        <v>26.721599999999999</v>
      </c>
      <c r="H23" s="154">
        <f t="shared" si="0"/>
        <v>26.721599999999999</v>
      </c>
    </row>
    <row r="24" spans="1:8" s="100" customFormat="1">
      <c r="A24" s="149">
        <v>12</v>
      </c>
      <c r="B24" s="155" t="s">
        <v>80</v>
      </c>
      <c r="C24" s="151" t="s">
        <v>81</v>
      </c>
      <c r="D24" s="151">
        <v>1</v>
      </c>
      <c r="E24" s="152" t="s">
        <v>23</v>
      </c>
      <c r="F24" s="151" t="s">
        <v>24</v>
      </c>
      <c r="G24" s="153">
        <v>8.0165000000000006</v>
      </c>
      <c r="H24" s="154">
        <f t="shared" si="0"/>
        <v>8.0165000000000006</v>
      </c>
    </row>
    <row r="25" spans="1:8" s="100" customFormat="1" ht="26.4">
      <c r="A25" s="149">
        <v>13</v>
      </c>
      <c r="B25" s="155" t="s">
        <v>82</v>
      </c>
      <c r="C25" s="151" t="s">
        <v>83</v>
      </c>
      <c r="D25" s="151">
        <v>1</v>
      </c>
      <c r="E25" s="152" t="s">
        <v>23</v>
      </c>
      <c r="F25" s="151" t="s">
        <v>24</v>
      </c>
      <c r="G25" s="153">
        <v>8.0165000000000006</v>
      </c>
      <c r="H25" s="154">
        <f t="shared" si="0"/>
        <v>8.0165000000000006</v>
      </c>
    </row>
    <row r="26" spans="1:8" s="100" customFormat="1">
      <c r="A26" s="149">
        <v>14</v>
      </c>
      <c r="B26" s="155" t="s">
        <v>84</v>
      </c>
      <c r="C26" s="151" t="s">
        <v>85</v>
      </c>
      <c r="D26" s="151">
        <v>1</v>
      </c>
      <c r="E26" s="152" t="s">
        <v>23</v>
      </c>
      <c r="F26" s="151" t="s">
        <v>24</v>
      </c>
      <c r="G26" s="153">
        <v>8.0165000000000006</v>
      </c>
      <c r="H26" s="154">
        <f t="shared" si="0"/>
        <v>8.0165000000000006</v>
      </c>
    </row>
    <row r="27" spans="1:8" s="100" customFormat="1">
      <c r="A27" s="149">
        <v>15</v>
      </c>
      <c r="B27" s="155" t="s">
        <v>86</v>
      </c>
      <c r="C27" s="151" t="s">
        <v>87</v>
      </c>
      <c r="D27" s="151">
        <v>2</v>
      </c>
      <c r="E27" s="152" t="s">
        <v>23</v>
      </c>
      <c r="F27" s="151" t="s">
        <v>24</v>
      </c>
      <c r="G27" s="153">
        <v>8.0165000000000006</v>
      </c>
      <c r="H27" s="154">
        <f t="shared" si="0"/>
        <v>16.033000000000001</v>
      </c>
    </row>
    <row r="28" spans="1:8" s="100" customFormat="1">
      <c r="A28" s="149">
        <v>16</v>
      </c>
      <c r="B28" s="155" t="s">
        <v>88</v>
      </c>
      <c r="C28" s="151" t="s">
        <v>89</v>
      </c>
      <c r="D28" s="151">
        <v>1</v>
      </c>
      <c r="E28" s="152" t="s">
        <v>23</v>
      </c>
      <c r="F28" s="151" t="s">
        <v>24</v>
      </c>
      <c r="G28" s="153">
        <v>8.0165000000000006</v>
      </c>
      <c r="H28" s="154">
        <f t="shared" si="0"/>
        <v>8.0165000000000006</v>
      </c>
    </row>
    <row r="29" spans="1:8" s="100" customFormat="1" ht="26.4">
      <c r="A29" s="149">
        <v>17</v>
      </c>
      <c r="B29" s="155" t="s">
        <v>90</v>
      </c>
      <c r="C29" s="151" t="s">
        <v>91</v>
      </c>
      <c r="D29" s="151">
        <v>1</v>
      </c>
      <c r="E29" s="152" t="s">
        <v>23</v>
      </c>
      <c r="F29" s="151" t="s">
        <v>24</v>
      </c>
      <c r="G29" s="153">
        <v>8.0165000000000006</v>
      </c>
      <c r="H29" s="154">
        <f t="shared" si="0"/>
        <v>8.0165000000000006</v>
      </c>
    </row>
    <row r="30" spans="1:8" s="100" customFormat="1">
      <c r="A30" s="149">
        <v>18</v>
      </c>
      <c r="B30" s="155" t="s">
        <v>92</v>
      </c>
      <c r="C30" s="151" t="s">
        <v>93</v>
      </c>
      <c r="D30" s="151">
        <v>1</v>
      </c>
      <c r="E30" s="152" t="s">
        <v>23</v>
      </c>
      <c r="F30" s="151" t="s">
        <v>24</v>
      </c>
      <c r="G30" s="153">
        <v>9.3526000000000007</v>
      </c>
      <c r="H30" s="154">
        <f t="shared" si="0"/>
        <v>9.3526000000000007</v>
      </c>
    </row>
    <row r="31" spans="1:8" s="100" customFormat="1">
      <c r="A31" s="149">
        <v>19</v>
      </c>
      <c r="B31" s="155" t="s">
        <v>94</v>
      </c>
      <c r="C31" s="151" t="s">
        <v>95</v>
      </c>
      <c r="D31" s="151">
        <v>1</v>
      </c>
      <c r="E31" s="152" t="s">
        <v>23</v>
      </c>
      <c r="F31" s="151" t="s">
        <v>24</v>
      </c>
      <c r="G31" s="153">
        <v>9.3526000000000007</v>
      </c>
      <c r="H31" s="154">
        <f t="shared" si="0"/>
        <v>9.3526000000000007</v>
      </c>
    </row>
    <row r="32" spans="1:8" s="100" customFormat="1" ht="26.4">
      <c r="A32" s="149">
        <v>20</v>
      </c>
      <c r="B32" s="155" t="s">
        <v>96</v>
      </c>
      <c r="C32" s="151" t="s">
        <v>97</v>
      </c>
      <c r="D32" s="151">
        <v>3</v>
      </c>
      <c r="E32" s="152" t="s">
        <v>23</v>
      </c>
      <c r="F32" s="151" t="s">
        <v>24</v>
      </c>
      <c r="G32" s="153">
        <v>8.0165000000000006</v>
      </c>
      <c r="H32" s="154">
        <f t="shared" si="0"/>
        <v>24.049500000000002</v>
      </c>
    </row>
    <row r="33" spans="1:8" s="100" customFormat="1">
      <c r="A33" s="149">
        <v>21</v>
      </c>
      <c r="B33" s="155" t="s">
        <v>98</v>
      </c>
      <c r="C33" s="151" t="s">
        <v>63</v>
      </c>
      <c r="D33" s="151">
        <v>1</v>
      </c>
      <c r="E33" s="152" t="s">
        <v>23</v>
      </c>
      <c r="F33" s="151" t="s">
        <v>24</v>
      </c>
      <c r="G33" s="153">
        <v>6.6803999999999997</v>
      </c>
      <c r="H33" s="154">
        <f t="shared" si="0"/>
        <v>6.6803999999999997</v>
      </c>
    </row>
    <row r="34" spans="1:8" s="100" customFormat="1">
      <c r="A34" s="149">
        <v>22</v>
      </c>
      <c r="B34" s="155" t="s">
        <v>99</v>
      </c>
      <c r="C34" s="151" t="s">
        <v>100</v>
      </c>
      <c r="D34" s="151">
        <v>1</v>
      </c>
      <c r="E34" s="152" t="s">
        <v>23</v>
      </c>
      <c r="F34" s="151" t="s">
        <v>24</v>
      </c>
      <c r="G34" s="153">
        <v>6.6803999999999997</v>
      </c>
      <c r="H34" s="154">
        <f t="shared" si="0"/>
        <v>6.6803999999999997</v>
      </c>
    </row>
    <row r="35" spans="1:8" s="100" customFormat="1">
      <c r="A35" s="149">
        <v>23</v>
      </c>
      <c r="B35" s="155" t="s">
        <v>101</v>
      </c>
      <c r="C35" s="151" t="s">
        <v>102</v>
      </c>
      <c r="D35" s="151">
        <v>1</v>
      </c>
      <c r="E35" s="152" t="s">
        <v>23</v>
      </c>
      <c r="F35" s="151" t="s">
        <v>24</v>
      </c>
      <c r="G35" s="153">
        <v>6.6803999999999997</v>
      </c>
      <c r="H35" s="154">
        <f t="shared" si="0"/>
        <v>6.6803999999999997</v>
      </c>
    </row>
    <row r="36" spans="1:8" s="100" customFormat="1" ht="26.4">
      <c r="A36" s="149">
        <v>24</v>
      </c>
      <c r="B36" s="155" t="s">
        <v>103</v>
      </c>
      <c r="C36" s="151" t="s">
        <v>79</v>
      </c>
      <c r="D36" s="151">
        <v>1</v>
      </c>
      <c r="E36" s="152" t="s">
        <v>23</v>
      </c>
      <c r="F36" s="151" t="s">
        <v>24</v>
      </c>
      <c r="G36" s="153">
        <v>26.721599999999999</v>
      </c>
      <c r="H36" s="154">
        <f t="shared" si="0"/>
        <v>26.721599999999999</v>
      </c>
    </row>
    <row r="37" spans="1:8" s="100" customFormat="1">
      <c r="A37" s="149">
        <v>25</v>
      </c>
      <c r="B37" s="155" t="s">
        <v>104</v>
      </c>
      <c r="C37" s="151" t="s">
        <v>85</v>
      </c>
      <c r="D37" s="151">
        <v>1</v>
      </c>
      <c r="E37" s="152" t="s">
        <v>23</v>
      </c>
      <c r="F37" s="151" t="s">
        <v>24</v>
      </c>
      <c r="G37" s="153">
        <v>6.6803999999999997</v>
      </c>
      <c r="H37" s="154">
        <f t="shared" si="0"/>
        <v>6.6803999999999997</v>
      </c>
    </row>
    <row r="38" spans="1:8" s="100" customFormat="1">
      <c r="A38" s="149">
        <v>26</v>
      </c>
      <c r="B38" s="155" t="s">
        <v>105</v>
      </c>
      <c r="C38" s="151" t="s">
        <v>106</v>
      </c>
      <c r="D38" s="151">
        <v>2</v>
      </c>
      <c r="E38" s="152" t="s">
        <v>23</v>
      </c>
      <c r="F38" s="151" t="s">
        <v>24</v>
      </c>
      <c r="G38" s="153">
        <v>6.6803999999999997</v>
      </c>
      <c r="H38" s="154">
        <f t="shared" si="0"/>
        <v>13.360799999999999</v>
      </c>
    </row>
    <row r="39" spans="1:8" s="100" customFormat="1">
      <c r="A39" s="149">
        <v>27</v>
      </c>
      <c r="B39" s="155" t="s">
        <v>107</v>
      </c>
      <c r="C39" s="151" t="s">
        <v>108</v>
      </c>
      <c r="D39" s="151">
        <v>1</v>
      </c>
      <c r="E39" s="152" t="s">
        <v>23</v>
      </c>
      <c r="F39" s="151" t="s">
        <v>24</v>
      </c>
      <c r="G39" s="153">
        <v>6.6803999999999997</v>
      </c>
      <c r="H39" s="154">
        <f t="shared" si="0"/>
        <v>6.6803999999999997</v>
      </c>
    </row>
    <row r="40" spans="1:8" s="100" customFormat="1" ht="26.4">
      <c r="A40" s="149">
        <v>28</v>
      </c>
      <c r="B40" s="155" t="s">
        <v>109</v>
      </c>
      <c r="C40" s="151" t="s">
        <v>83</v>
      </c>
      <c r="D40" s="151">
        <v>1</v>
      </c>
      <c r="E40" s="152" t="s">
        <v>23</v>
      </c>
      <c r="F40" s="151" t="s">
        <v>24</v>
      </c>
      <c r="G40" s="153">
        <v>6.6803999999999997</v>
      </c>
      <c r="H40" s="154">
        <f t="shared" si="0"/>
        <v>6.6803999999999997</v>
      </c>
    </row>
    <row r="41" spans="1:8" s="100" customFormat="1">
      <c r="A41" s="149">
        <v>29</v>
      </c>
      <c r="B41" s="155" t="s">
        <v>110</v>
      </c>
      <c r="C41" s="151" t="s">
        <v>111</v>
      </c>
      <c r="D41" s="151">
        <v>3</v>
      </c>
      <c r="E41" s="152" t="s">
        <v>23</v>
      </c>
      <c r="F41" s="151" t="s">
        <v>24</v>
      </c>
      <c r="G41" s="153">
        <v>8.0165000000000006</v>
      </c>
      <c r="H41" s="154">
        <f t="shared" si="0"/>
        <v>24.049500000000002</v>
      </c>
    </row>
    <row r="42" spans="1:8" s="100" customFormat="1">
      <c r="A42" s="149">
        <v>30</v>
      </c>
      <c r="B42" s="155" t="s">
        <v>112</v>
      </c>
      <c r="C42" s="151" t="s">
        <v>113</v>
      </c>
      <c r="D42" s="151">
        <v>1</v>
      </c>
      <c r="E42" s="152" t="s">
        <v>23</v>
      </c>
      <c r="F42" s="151" t="s">
        <v>24</v>
      </c>
      <c r="G42" s="153">
        <v>6.6803999999999997</v>
      </c>
      <c r="H42" s="154">
        <f t="shared" si="0"/>
        <v>6.6803999999999997</v>
      </c>
    </row>
    <row r="43" spans="1:8" s="100" customFormat="1">
      <c r="A43" s="149">
        <v>31</v>
      </c>
      <c r="B43" s="155" t="s">
        <v>114</v>
      </c>
      <c r="C43" s="151" t="s">
        <v>59</v>
      </c>
      <c r="D43" s="151">
        <v>2</v>
      </c>
      <c r="E43" s="152" t="s">
        <v>23</v>
      </c>
      <c r="F43" s="151" t="s">
        <v>24</v>
      </c>
      <c r="G43" s="153">
        <v>10.688599999999999</v>
      </c>
      <c r="H43" s="154">
        <f t="shared" si="0"/>
        <v>21.377199999999998</v>
      </c>
    </row>
    <row r="44" spans="1:8" s="100" customFormat="1">
      <c r="A44" s="149">
        <v>32</v>
      </c>
      <c r="B44" s="155" t="s">
        <v>115</v>
      </c>
      <c r="C44" s="151" t="s">
        <v>85</v>
      </c>
      <c r="D44" s="151">
        <v>1</v>
      </c>
      <c r="E44" s="152" t="s">
        <v>23</v>
      </c>
      <c r="F44" s="151" t="s">
        <v>24</v>
      </c>
      <c r="G44" s="153">
        <v>6.6803999999999997</v>
      </c>
      <c r="H44" s="154">
        <f t="shared" si="0"/>
        <v>6.6803999999999997</v>
      </c>
    </row>
    <row r="45" spans="1:8" s="100" customFormat="1" ht="26.4">
      <c r="A45" s="149">
        <v>33</v>
      </c>
      <c r="B45" s="155" t="s">
        <v>116</v>
      </c>
      <c r="C45" s="151" t="s">
        <v>117</v>
      </c>
      <c r="D45" s="151">
        <v>1</v>
      </c>
      <c r="E45" s="152" t="s">
        <v>23</v>
      </c>
      <c r="F45" s="151" t="s">
        <v>24</v>
      </c>
      <c r="G45" s="153">
        <v>6.6803999999999997</v>
      </c>
      <c r="H45" s="154">
        <f t="shared" si="0"/>
        <v>6.6803999999999997</v>
      </c>
    </row>
    <row r="46" spans="1:8" s="100" customFormat="1">
      <c r="A46" s="149">
        <v>34</v>
      </c>
      <c r="B46" s="155" t="s">
        <v>118</v>
      </c>
      <c r="C46" s="151" t="s">
        <v>119</v>
      </c>
      <c r="D46" s="151">
        <v>1</v>
      </c>
      <c r="E46" s="152" t="s">
        <v>23</v>
      </c>
      <c r="F46" s="151" t="s">
        <v>24</v>
      </c>
      <c r="G46" s="153">
        <v>6.6803999999999997</v>
      </c>
      <c r="H46" s="154">
        <f t="shared" si="0"/>
        <v>6.6803999999999997</v>
      </c>
    </row>
    <row r="47" spans="1:8" s="100" customFormat="1">
      <c r="A47" s="149">
        <v>35</v>
      </c>
      <c r="B47" s="155" t="s">
        <v>120</v>
      </c>
      <c r="C47" s="151" t="s">
        <v>121</v>
      </c>
      <c r="D47" s="151">
        <v>1</v>
      </c>
      <c r="E47" s="152" t="s">
        <v>23</v>
      </c>
      <c r="F47" s="151" t="s">
        <v>24</v>
      </c>
      <c r="G47" s="153">
        <v>6.6803999999999997</v>
      </c>
      <c r="H47" s="154">
        <f t="shared" si="0"/>
        <v>6.6803999999999997</v>
      </c>
    </row>
    <row r="48" spans="1:8" s="100" customFormat="1">
      <c r="A48" s="149">
        <v>36</v>
      </c>
      <c r="B48" s="155" t="s">
        <v>122</v>
      </c>
      <c r="C48" s="151" t="s">
        <v>123</v>
      </c>
      <c r="D48" s="151">
        <v>3</v>
      </c>
      <c r="E48" s="152" t="s">
        <v>23</v>
      </c>
      <c r="F48" s="151" t="s">
        <v>24</v>
      </c>
      <c r="G48" s="153">
        <v>20.0412</v>
      </c>
      <c r="H48" s="154">
        <f t="shared" si="0"/>
        <v>60.123599999999996</v>
      </c>
    </row>
    <row r="49" spans="1:10" s="100" customFormat="1">
      <c r="A49" s="149">
        <v>37</v>
      </c>
      <c r="B49" s="155" t="s">
        <v>124</v>
      </c>
      <c r="C49" s="151" t="s">
        <v>125</v>
      </c>
      <c r="D49" s="151">
        <v>3</v>
      </c>
      <c r="E49" s="152" t="s">
        <v>23</v>
      </c>
      <c r="F49" s="151" t="s">
        <v>24</v>
      </c>
      <c r="G49" s="153">
        <v>40.0824</v>
      </c>
      <c r="H49" s="154">
        <f t="shared" si="0"/>
        <v>120.24719999999999</v>
      </c>
    </row>
    <row r="50" spans="1:10" s="100" customFormat="1">
      <c r="A50" s="149">
        <v>38</v>
      </c>
      <c r="B50" s="155" t="s">
        <v>126</v>
      </c>
      <c r="C50" s="151" t="s">
        <v>127</v>
      </c>
      <c r="D50" s="151">
        <v>1</v>
      </c>
      <c r="E50" s="152" t="s">
        <v>23</v>
      </c>
      <c r="F50" s="151" t="s">
        <v>24</v>
      </c>
      <c r="G50" s="153">
        <v>19.373200000000001</v>
      </c>
      <c r="H50" s="154">
        <f t="shared" si="0"/>
        <v>19.373200000000001</v>
      </c>
    </row>
    <row r="51" spans="1:10" s="100" customFormat="1" ht="20.25" customHeight="1">
      <c r="A51" s="156"/>
      <c r="B51" s="148"/>
      <c r="C51" s="148"/>
      <c r="D51" s="157">
        <f>SUM(D13:D50)</f>
        <v>54</v>
      </c>
      <c r="E51" s="158"/>
      <c r="F51" s="159"/>
      <c r="G51" s="160"/>
      <c r="H51" s="157">
        <f>SUM(H13:H50)</f>
        <v>611.25710000000026</v>
      </c>
    </row>
    <row r="52" spans="1:10" ht="15.6">
      <c r="A52" s="161"/>
      <c r="B52" s="107"/>
      <c r="C52" s="108"/>
      <c r="D52" s="109"/>
      <c r="E52" s="123"/>
      <c r="F52" s="123"/>
      <c r="G52" s="124"/>
      <c r="H52" s="125"/>
      <c r="J52" s="100"/>
    </row>
    <row r="53" spans="1:10" ht="15.6">
      <c r="A53" s="106"/>
      <c r="B53" s="107" t="s">
        <v>27</v>
      </c>
      <c r="C53" s="108"/>
      <c r="D53" s="109"/>
      <c r="E53" s="123"/>
      <c r="F53" s="123"/>
      <c r="G53" s="124"/>
      <c r="H53" s="125"/>
      <c r="J53" s="100"/>
    </row>
    <row r="54" spans="1:10" ht="15.6">
      <c r="A54" s="106"/>
      <c r="B54" s="107" t="s">
        <v>28</v>
      </c>
      <c r="C54" s="108"/>
      <c r="D54" s="109"/>
      <c r="E54" s="123"/>
      <c r="F54" s="123"/>
      <c r="G54" s="124"/>
      <c r="H54" s="125"/>
      <c r="J54" s="100"/>
    </row>
    <row r="55" spans="1:10" ht="15.6">
      <c r="A55" s="106"/>
      <c r="B55" s="162" t="s">
        <v>29</v>
      </c>
      <c r="C55" s="108"/>
      <c r="D55" s="109"/>
      <c r="E55" s="123"/>
      <c r="F55" s="123"/>
      <c r="G55" s="124"/>
      <c r="H55" s="125"/>
      <c r="J55" s="100"/>
    </row>
    <row r="56" spans="1:10" ht="15.6">
      <c r="A56" s="106"/>
      <c r="B56" s="107" t="s">
        <v>30</v>
      </c>
      <c r="C56" s="108"/>
      <c r="D56" s="109"/>
      <c r="E56" s="123"/>
      <c r="F56" s="123"/>
      <c r="G56" s="124"/>
      <c r="H56" s="125"/>
      <c r="J56" s="100"/>
    </row>
    <row r="57" spans="1:10" ht="15.6">
      <c r="A57" s="106"/>
      <c r="B57" s="107" t="s">
        <v>31</v>
      </c>
      <c r="C57" s="108"/>
      <c r="D57" s="109"/>
      <c r="E57" s="123"/>
      <c r="F57" s="123"/>
      <c r="G57" s="124"/>
      <c r="H57" s="125"/>
      <c r="J57" s="100"/>
    </row>
    <row r="58" spans="1:10" ht="15.6">
      <c r="A58" s="106"/>
      <c r="B58" s="107" t="s">
        <v>32</v>
      </c>
      <c r="C58" s="108"/>
      <c r="D58" s="109"/>
      <c r="E58" s="123"/>
      <c r="F58" s="123"/>
      <c r="G58" s="124"/>
      <c r="H58" s="125"/>
      <c r="J58" s="100"/>
    </row>
    <row r="59" spans="1:10" ht="15.6">
      <c r="A59" s="106"/>
      <c r="B59" s="107" t="s">
        <v>33</v>
      </c>
      <c r="C59" s="108"/>
      <c r="D59" s="109"/>
      <c r="E59" s="123"/>
      <c r="F59" s="123"/>
      <c r="G59" s="124"/>
      <c r="H59" s="125"/>
      <c r="J59" s="100"/>
    </row>
    <row r="60" spans="1:10" ht="17.399999999999999">
      <c r="A60" s="188" t="s">
        <v>34</v>
      </c>
      <c r="B60" s="189"/>
      <c r="C60" s="190"/>
      <c r="D60" s="163"/>
      <c r="E60" s="189" t="s">
        <v>35</v>
      </c>
      <c r="F60" s="189"/>
      <c r="G60" s="191"/>
      <c r="H60" s="192"/>
      <c r="J60" s="100"/>
    </row>
    <row r="61" spans="1:10" ht="15.6">
      <c r="A61" s="106"/>
      <c r="B61" s="107"/>
      <c r="C61" s="108"/>
      <c r="D61" s="109"/>
      <c r="E61" s="123"/>
      <c r="F61" s="123"/>
      <c r="G61" s="124"/>
      <c r="H61" s="125"/>
      <c r="J61" s="100"/>
    </row>
    <row r="62" spans="1:10" ht="15.6">
      <c r="A62" s="106"/>
      <c r="B62" s="107"/>
      <c r="C62" s="108"/>
      <c r="D62" s="109"/>
      <c r="E62" s="123"/>
      <c r="F62" s="123"/>
      <c r="G62" s="124"/>
      <c r="H62" s="125"/>
      <c r="J62" s="100"/>
    </row>
    <row r="63" spans="1:10" ht="15.6">
      <c r="A63" s="106"/>
      <c r="B63" s="107"/>
      <c r="C63" s="108"/>
      <c r="D63" s="109"/>
      <c r="E63" s="123"/>
      <c r="F63" s="123"/>
      <c r="G63" s="124"/>
      <c r="H63" s="125"/>
    </row>
    <row r="64" spans="1:10" ht="15.6">
      <c r="A64" s="106"/>
      <c r="B64" s="107"/>
      <c r="C64" s="108"/>
      <c r="D64" s="109"/>
      <c r="E64" s="123"/>
      <c r="F64" s="123"/>
      <c r="G64" s="124"/>
      <c r="H64" s="125"/>
    </row>
    <row r="65" spans="1:8" ht="15.6">
      <c r="A65" s="164"/>
      <c r="B65" s="165"/>
      <c r="C65" s="166"/>
      <c r="D65" s="167"/>
      <c r="E65" s="168"/>
      <c r="F65" s="168"/>
      <c r="G65" s="169"/>
      <c r="H65" s="170"/>
    </row>
  </sheetData>
  <mergeCells count="12">
    <mergeCell ref="A1:H1"/>
    <mergeCell ref="B5:H5"/>
    <mergeCell ref="B9:H9"/>
    <mergeCell ref="B11:C11"/>
    <mergeCell ref="A60:C60"/>
    <mergeCell ref="E60:H60"/>
    <mergeCell ref="A11:A12"/>
    <mergeCell ref="D11:D12"/>
    <mergeCell ref="E11:E12"/>
    <mergeCell ref="F11:F12"/>
    <mergeCell ref="G11:G12"/>
    <mergeCell ref="H11:H1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O78"/>
  <sheetViews>
    <sheetView tabSelected="1" view="pageBreakPreview" topLeftCell="A61" zoomScale="60" zoomScaleNormal="100" workbookViewId="0">
      <selection activeCell="H16" sqref="H16:I68"/>
    </sheetView>
  </sheetViews>
  <sheetFormatPr defaultColWidth="9" defaultRowHeight="14.4"/>
  <cols>
    <col min="1" max="1" width="5.109375" style="49" customWidth="1"/>
    <col min="2" max="2" width="17" style="49" customWidth="1"/>
    <col min="3" max="3" width="8.44140625" style="49" customWidth="1"/>
    <col min="4" max="4" width="19.109375" style="49" customWidth="1"/>
    <col min="5" max="5" width="21.44140625" style="49" customWidth="1"/>
    <col min="6" max="6" width="30" style="49" customWidth="1"/>
    <col min="7" max="7" width="12.44140625" style="3" customWidth="1"/>
    <col min="8" max="8" width="12.77734375" style="49" customWidth="1"/>
    <col min="9" max="9" width="12.44140625" style="50" customWidth="1"/>
    <col min="10" max="10" width="8" style="51" customWidth="1"/>
    <col min="11" max="11" width="11.88671875" style="52" customWidth="1"/>
    <col min="12" max="12" width="15" style="52" customWidth="1"/>
    <col min="13" max="14" width="11.44140625" style="49"/>
    <col min="15" max="16384" width="9" style="49"/>
  </cols>
  <sheetData>
    <row r="1" spans="1:12" ht="37.5" customHeight="1">
      <c r="A1" s="203" t="s">
        <v>128</v>
      </c>
      <c r="B1" s="204"/>
      <c r="C1" s="204"/>
      <c r="D1" s="204"/>
      <c r="E1" s="204"/>
      <c r="F1" s="204"/>
      <c r="G1" s="205"/>
      <c r="H1" s="204"/>
      <c r="I1" s="206"/>
      <c r="J1" s="204"/>
      <c r="K1" s="207"/>
      <c r="L1" s="208"/>
    </row>
    <row r="2" spans="1:12" s="45" customFormat="1" ht="20.100000000000001" customHeight="1">
      <c r="A2" s="209" t="s">
        <v>8</v>
      </c>
      <c r="B2" s="210"/>
      <c r="C2" s="53"/>
      <c r="D2" s="53"/>
      <c r="E2" s="53"/>
      <c r="F2" s="53"/>
      <c r="G2" s="54"/>
      <c r="H2" s="55"/>
      <c r="I2" s="70"/>
      <c r="J2" s="211" t="s">
        <v>129</v>
      </c>
      <c r="K2" s="212"/>
      <c r="L2" s="213"/>
    </row>
    <row r="3" spans="1:12" s="45" customFormat="1" ht="20.100000000000001" customHeight="1">
      <c r="A3" s="56"/>
      <c r="B3" s="214" t="s">
        <v>130</v>
      </c>
      <c r="C3" s="214"/>
      <c r="D3" s="214"/>
      <c r="E3" s="214"/>
      <c r="F3" s="214"/>
      <c r="G3" s="215"/>
      <c r="H3" s="214"/>
      <c r="I3" s="216"/>
      <c r="J3" s="217" t="s">
        <v>131</v>
      </c>
      <c r="K3" s="218"/>
      <c r="L3" s="219"/>
    </row>
    <row r="4" spans="1:12" s="45" customFormat="1" ht="20.100000000000001" customHeight="1">
      <c r="A4" s="56"/>
      <c r="B4" s="254" t="s">
        <v>10</v>
      </c>
      <c r="C4" s="254"/>
      <c r="D4" s="254"/>
      <c r="E4" s="254"/>
      <c r="F4" s="254"/>
      <c r="G4" s="255"/>
      <c r="H4" s="254"/>
      <c r="I4" s="256"/>
      <c r="J4" s="217" t="s">
        <v>132</v>
      </c>
      <c r="K4" s="218"/>
      <c r="L4" s="219"/>
    </row>
    <row r="5" spans="1:12" s="45" customFormat="1" ht="20.100000000000001" customHeight="1">
      <c r="A5" s="56"/>
      <c r="B5" s="254"/>
      <c r="C5" s="254"/>
      <c r="D5" s="254"/>
      <c r="E5" s="254"/>
      <c r="F5" s="254"/>
      <c r="G5" s="255"/>
      <c r="H5" s="254"/>
      <c r="I5" s="256"/>
      <c r="J5" s="217" t="s">
        <v>133</v>
      </c>
      <c r="K5" s="218"/>
      <c r="L5" s="219"/>
    </row>
    <row r="6" spans="1:12" s="45" customFormat="1" ht="21.75" customHeight="1">
      <c r="A6" s="57"/>
      <c r="B6" s="58" t="s">
        <v>134</v>
      </c>
      <c r="C6" s="59"/>
      <c r="D6" s="59"/>
      <c r="E6" s="59"/>
      <c r="F6" s="60"/>
      <c r="G6" s="61"/>
      <c r="H6" s="62"/>
      <c r="I6" s="71"/>
      <c r="J6" s="217" t="s">
        <v>135</v>
      </c>
      <c r="K6" s="218"/>
      <c r="L6" s="219"/>
    </row>
    <row r="7" spans="1:12" s="45" customFormat="1" ht="20.100000000000001" customHeight="1">
      <c r="A7" s="209" t="s">
        <v>3</v>
      </c>
      <c r="B7" s="210"/>
      <c r="C7" s="53"/>
      <c r="D7" s="53"/>
      <c r="E7" s="53"/>
      <c r="F7" s="53"/>
      <c r="G7" s="54"/>
      <c r="H7" s="55"/>
      <c r="I7" s="70"/>
      <c r="J7" s="217" t="s">
        <v>136</v>
      </c>
      <c r="K7" s="218"/>
      <c r="L7" s="219"/>
    </row>
    <row r="8" spans="1:12" s="45" customFormat="1" ht="20.100000000000001" customHeight="1">
      <c r="A8" s="56"/>
      <c r="B8" s="214" t="s">
        <v>137</v>
      </c>
      <c r="C8" s="214"/>
      <c r="D8" s="214"/>
      <c r="E8" s="214"/>
      <c r="F8" s="214"/>
      <c r="G8" s="215"/>
      <c r="H8" s="214"/>
      <c r="I8" s="216"/>
      <c r="J8" s="217" t="s">
        <v>138</v>
      </c>
      <c r="K8" s="218"/>
      <c r="L8" s="219"/>
    </row>
    <row r="9" spans="1:12" s="45" customFormat="1" ht="21.75" customHeight="1">
      <c r="A9" s="56"/>
      <c r="B9" s="254" t="s">
        <v>139</v>
      </c>
      <c r="C9" s="254"/>
      <c r="D9" s="254"/>
      <c r="E9" s="254"/>
      <c r="F9" s="254"/>
      <c r="G9" s="255"/>
      <c r="H9" s="254"/>
      <c r="I9" s="256"/>
      <c r="J9" s="217" t="s">
        <v>140</v>
      </c>
      <c r="K9" s="218"/>
      <c r="L9" s="219"/>
    </row>
    <row r="10" spans="1:12" s="45" customFormat="1" ht="24" customHeight="1">
      <c r="A10" s="56"/>
      <c r="B10" s="254"/>
      <c r="C10" s="254"/>
      <c r="D10" s="254"/>
      <c r="E10" s="254"/>
      <c r="F10" s="254"/>
      <c r="G10" s="255"/>
      <c r="H10" s="254"/>
      <c r="I10" s="256"/>
      <c r="J10" s="220" t="s">
        <v>141</v>
      </c>
      <c r="K10" s="221"/>
      <c r="L10" s="222"/>
    </row>
    <row r="11" spans="1:12" s="45" customFormat="1" ht="20.100000000000001" customHeight="1">
      <c r="A11" s="56"/>
      <c r="B11" s="223" t="s">
        <v>142</v>
      </c>
      <c r="C11" s="223"/>
      <c r="D11" s="223"/>
      <c r="E11" s="223"/>
      <c r="F11" s="223"/>
      <c r="G11" s="224"/>
      <c r="H11" s="223"/>
      <c r="I11" s="225"/>
      <c r="J11" s="217" t="s">
        <v>143</v>
      </c>
      <c r="K11" s="218"/>
      <c r="L11" s="219"/>
    </row>
    <row r="12" spans="1:12" s="45" customFormat="1" ht="20.100000000000001" customHeight="1">
      <c r="A12" s="63"/>
      <c r="B12" s="64" t="s">
        <v>144</v>
      </c>
      <c r="C12" s="64"/>
      <c r="D12" s="64"/>
      <c r="E12" s="64"/>
      <c r="F12" s="65"/>
      <c r="G12" s="66"/>
      <c r="H12" s="64"/>
      <c r="I12" s="72"/>
      <c r="J12" s="217"/>
      <c r="K12" s="218"/>
      <c r="L12" s="219"/>
    </row>
    <row r="13" spans="1:12" s="45" customFormat="1" ht="30" customHeight="1">
      <c r="A13" s="226" t="s">
        <v>145</v>
      </c>
      <c r="B13" s="227"/>
      <c r="C13" s="227"/>
      <c r="D13" s="227"/>
      <c r="E13" s="227"/>
      <c r="F13" s="227"/>
      <c r="G13" s="228"/>
      <c r="H13" s="229"/>
      <c r="I13" s="230"/>
      <c r="J13" s="231"/>
      <c r="K13" s="232"/>
      <c r="L13" s="233"/>
    </row>
    <row r="14" spans="1:12" s="46" customFormat="1" ht="26.25" customHeight="1">
      <c r="A14" s="243" t="s">
        <v>12</v>
      </c>
      <c r="B14" s="234" t="s">
        <v>146</v>
      </c>
      <c r="C14" s="235"/>
      <c r="D14" s="235"/>
      <c r="E14" s="235"/>
      <c r="F14" s="236"/>
      <c r="G14" s="245" t="s">
        <v>147</v>
      </c>
      <c r="H14" s="247" t="s">
        <v>148</v>
      </c>
      <c r="I14" s="245" t="s">
        <v>14</v>
      </c>
      <c r="J14" s="249" t="s">
        <v>15</v>
      </c>
      <c r="K14" s="251" t="s">
        <v>17</v>
      </c>
      <c r="L14" s="253" t="s">
        <v>18</v>
      </c>
    </row>
    <row r="15" spans="1:12" s="46" customFormat="1" ht="39.6">
      <c r="A15" s="244"/>
      <c r="B15" s="67" t="s">
        <v>149</v>
      </c>
      <c r="C15" s="67" t="s">
        <v>150</v>
      </c>
      <c r="D15" s="67" t="s">
        <v>151</v>
      </c>
      <c r="E15" s="67" t="s">
        <v>152</v>
      </c>
      <c r="F15" s="67" t="s">
        <v>20</v>
      </c>
      <c r="G15" s="246"/>
      <c r="H15" s="248"/>
      <c r="I15" s="246"/>
      <c r="J15" s="250"/>
      <c r="K15" s="252"/>
      <c r="L15" s="253"/>
    </row>
    <row r="16" spans="1:12" s="47" customFormat="1" ht="28.95" customHeight="1">
      <c r="A16" s="14">
        <v>1</v>
      </c>
      <c r="B16" s="15" t="s">
        <v>153</v>
      </c>
      <c r="C16" s="16" t="s">
        <v>154</v>
      </c>
      <c r="D16" s="16" t="s">
        <v>21</v>
      </c>
      <c r="E16" s="68" t="s">
        <v>155</v>
      </c>
      <c r="F16" s="68" t="s">
        <v>22</v>
      </c>
      <c r="G16" s="16">
        <v>85013140</v>
      </c>
      <c r="H16" s="290" t="s">
        <v>24</v>
      </c>
      <c r="I16" s="290">
        <v>28</v>
      </c>
      <c r="J16" s="16" t="s">
        <v>23</v>
      </c>
      <c r="K16" s="73">
        <v>14.3428</v>
      </c>
      <c r="L16" s="74">
        <f t="shared" ref="L16:L22" si="0">K16*I16</f>
        <v>401.59840000000003</v>
      </c>
    </row>
    <row r="17" spans="1:12" s="47" customFormat="1" ht="28.95" customHeight="1">
      <c r="A17" s="14">
        <v>2</v>
      </c>
      <c r="B17" s="15" t="s">
        <v>156</v>
      </c>
      <c r="C17" s="16">
        <v>1</v>
      </c>
      <c r="D17" s="16" t="s">
        <v>52</v>
      </c>
      <c r="E17" s="68" t="s">
        <v>157</v>
      </c>
      <c r="F17" s="69" t="s">
        <v>53</v>
      </c>
      <c r="G17" s="16">
        <v>84662090</v>
      </c>
      <c r="H17" s="290" t="s">
        <v>24</v>
      </c>
      <c r="I17" s="290">
        <v>4</v>
      </c>
      <c r="J17" s="16" t="s">
        <v>23</v>
      </c>
      <c r="K17" s="73">
        <v>13.360799999999999</v>
      </c>
      <c r="L17" s="74">
        <f t="shared" si="0"/>
        <v>53.443199999999997</v>
      </c>
    </row>
    <row r="18" spans="1:12" s="47" customFormat="1" ht="28.95" customHeight="1">
      <c r="A18" s="14">
        <v>3</v>
      </c>
      <c r="B18" s="15" t="s">
        <v>156</v>
      </c>
      <c r="C18" s="16">
        <v>2</v>
      </c>
      <c r="D18" s="16" t="s">
        <v>54</v>
      </c>
      <c r="E18" s="68" t="s">
        <v>157</v>
      </c>
      <c r="F18" s="69" t="s">
        <v>53</v>
      </c>
      <c r="G18" s="16">
        <v>84662090</v>
      </c>
      <c r="H18" s="290" t="s">
        <v>24</v>
      </c>
      <c r="I18" s="290">
        <v>4</v>
      </c>
      <c r="J18" s="16" t="s">
        <v>23</v>
      </c>
      <c r="K18" s="73">
        <v>3.3401999999999998</v>
      </c>
      <c r="L18" s="74">
        <f t="shared" si="0"/>
        <v>13.360799999999999</v>
      </c>
    </row>
    <row r="19" spans="1:12" s="47" customFormat="1" ht="28.95" customHeight="1">
      <c r="A19" s="14">
        <v>4</v>
      </c>
      <c r="B19" s="15" t="s">
        <v>153</v>
      </c>
      <c r="C19" s="16">
        <v>2</v>
      </c>
      <c r="D19" s="16" t="s">
        <v>25</v>
      </c>
      <c r="E19" s="68" t="s">
        <v>158</v>
      </c>
      <c r="F19" s="69" t="s">
        <v>26</v>
      </c>
      <c r="G19" s="16">
        <v>37013000</v>
      </c>
      <c r="H19" s="290" t="s">
        <v>24</v>
      </c>
      <c r="I19" s="290">
        <v>10</v>
      </c>
      <c r="J19" s="16" t="s">
        <v>23</v>
      </c>
      <c r="K19" s="73">
        <v>2.2646999999999999</v>
      </c>
      <c r="L19" s="74">
        <f t="shared" si="0"/>
        <v>22.646999999999998</v>
      </c>
    </row>
    <row r="20" spans="1:12" s="47" customFormat="1" ht="28.95" customHeight="1">
      <c r="A20" s="14">
        <v>5</v>
      </c>
      <c r="B20" s="15" t="s">
        <v>159</v>
      </c>
      <c r="C20" s="16">
        <v>1</v>
      </c>
      <c r="D20" s="16" t="s">
        <v>48</v>
      </c>
      <c r="E20" s="68" t="s">
        <v>160</v>
      </c>
      <c r="F20" s="69" t="s">
        <v>49</v>
      </c>
      <c r="G20" s="16">
        <v>39269099</v>
      </c>
      <c r="H20" s="290" t="s">
        <v>24</v>
      </c>
      <c r="I20" s="290">
        <v>10</v>
      </c>
      <c r="J20" s="16" t="s">
        <v>23</v>
      </c>
      <c r="K20" s="73">
        <v>40.4619</v>
      </c>
      <c r="L20" s="74">
        <f t="shared" si="0"/>
        <v>404.61900000000003</v>
      </c>
    </row>
    <row r="21" spans="1:12" s="47" customFormat="1" ht="28.95" customHeight="1">
      <c r="A21" s="14">
        <v>6</v>
      </c>
      <c r="B21" s="15" t="s">
        <v>159</v>
      </c>
      <c r="C21" s="16">
        <v>2</v>
      </c>
      <c r="D21" s="16" t="s">
        <v>50</v>
      </c>
      <c r="E21" s="68" t="s">
        <v>160</v>
      </c>
      <c r="F21" s="69" t="s">
        <v>49</v>
      </c>
      <c r="G21" s="16">
        <v>39269099</v>
      </c>
      <c r="H21" s="290" t="s">
        <v>24</v>
      </c>
      <c r="I21" s="290">
        <v>30</v>
      </c>
      <c r="J21" s="16" t="s">
        <v>23</v>
      </c>
      <c r="K21" s="73">
        <v>19.325099999999999</v>
      </c>
      <c r="L21" s="74">
        <f t="shared" si="0"/>
        <v>579.75299999999993</v>
      </c>
    </row>
    <row r="22" spans="1:12" s="47" customFormat="1" ht="28.95" customHeight="1">
      <c r="A22" s="14">
        <v>7</v>
      </c>
      <c r="B22" s="15" t="s">
        <v>156</v>
      </c>
      <c r="C22" s="16">
        <v>3</v>
      </c>
      <c r="D22" s="16" t="s">
        <v>55</v>
      </c>
      <c r="E22" s="68" t="s">
        <v>161</v>
      </c>
      <c r="F22" s="69" t="s">
        <v>56</v>
      </c>
      <c r="G22" s="16">
        <v>84249099</v>
      </c>
      <c r="H22" s="290" t="s">
        <v>24</v>
      </c>
      <c r="I22" s="290">
        <v>14</v>
      </c>
      <c r="J22" s="16" t="s">
        <v>23</v>
      </c>
      <c r="K22" s="73">
        <v>264.54399999999998</v>
      </c>
      <c r="L22" s="74">
        <f t="shared" si="0"/>
        <v>3703.616</v>
      </c>
    </row>
    <row r="23" spans="1:12" s="47" customFormat="1" ht="28.95" customHeight="1">
      <c r="A23" s="14">
        <v>8</v>
      </c>
      <c r="B23" s="15" t="s">
        <v>162</v>
      </c>
      <c r="C23" s="16">
        <v>5</v>
      </c>
      <c r="D23" s="16" t="s">
        <v>37</v>
      </c>
      <c r="E23" s="68" t="s">
        <v>163</v>
      </c>
      <c r="F23" s="69" t="s">
        <v>38</v>
      </c>
      <c r="G23" s="16">
        <v>84662090</v>
      </c>
      <c r="H23" s="290" t="s">
        <v>24</v>
      </c>
      <c r="I23" s="290">
        <v>8</v>
      </c>
      <c r="J23" s="16" t="s">
        <v>23</v>
      </c>
      <c r="K23" s="73">
        <v>49.702199999999998</v>
      </c>
      <c r="L23" s="74">
        <f t="shared" ref="L23:L30" si="1">K23*I23</f>
        <v>397.61759999999998</v>
      </c>
    </row>
    <row r="24" spans="1:12" s="47" customFormat="1" ht="28.95" customHeight="1">
      <c r="A24" s="14">
        <v>9</v>
      </c>
      <c r="B24" s="15" t="s">
        <v>162</v>
      </c>
      <c r="C24" s="16">
        <v>5</v>
      </c>
      <c r="D24" s="16" t="s">
        <v>37</v>
      </c>
      <c r="E24" s="68" t="s">
        <v>163</v>
      </c>
      <c r="F24" s="69" t="s">
        <v>38</v>
      </c>
      <c r="G24" s="16">
        <v>84662090</v>
      </c>
      <c r="H24" s="290" t="s">
        <v>24</v>
      </c>
      <c r="I24" s="290">
        <v>4</v>
      </c>
      <c r="J24" s="16" t="s">
        <v>23</v>
      </c>
      <c r="K24" s="73">
        <v>49.702199999999998</v>
      </c>
      <c r="L24" s="74">
        <f t="shared" si="1"/>
        <v>198.80879999999999</v>
      </c>
    </row>
    <row r="25" spans="1:12" s="47" customFormat="1" ht="28.95" customHeight="1">
      <c r="A25" s="14">
        <v>10</v>
      </c>
      <c r="B25" s="15" t="s">
        <v>162</v>
      </c>
      <c r="C25" s="16">
        <v>7</v>
      </c>
      <c r="D25" s="16" t="s">
        <v>39</v>
      </c>
      <c r="E25" s="68" t="s">
        <v>163</v>
      </c>
      <c r="F25" s="69" t="s">
        <v>38</v>
      </c>
      <c r="G25" s="16">
        <v>84662090</v>
      </c>
      <c r="H25" s="290" t="s">
        <v>24</v>
      </c>
      <c r="I25" s="290">
        <v>4</v>
      </c>
      <c r="J25" s="16" t="s">
        <v>23</v>
      </c>
      <c r="K25" s="73">
        <v>49.702199999999998</v>
      </c>
      <c r="L25" s="74">
        <f t="shared" si="1"/>
        <v>198.80879999999999</v>
      </c>
    </row>
    <row r="26" spans="1:12" s="47" customFormat="1" ht="28.95" customHeight="1">
      <c r="A26" s="14">
        <v>11</v>
      </c>
      <c r="B26" s="15" t="s">
        <v>162</v>
      </c>
      <c r="C26" s="16">
        <v>6</v>
      </c>
      <c r="D26" s="16" t="s">
        <v>40</v>
      </c>
      <c r="E26" s="68" t="s">
        <v>163</v>
      </c>
      <c r="F26" s="69" t="s">
        <v>38</v>
      </c>
      <c r="G26" s="16">
        <v>84662090</v>
      </c>
      <c r="H26" s="290" t="s">
        <v>24</v>
      </c>
      <c r="I26" s="290">
        <v>2</v>
      </c>
      <c r="J26" s="16" t="s">
        <v>23</v>
      </c>
      <c r="K26" s="73">
        <v>49.702199999999998</v>
      </c>
      <c r="L26" s="74">
        <f t="shared" si="1"/>
        <v>99.404399999999995</v>
      </c>
    </row>
    <row r="27" spans="1:12" s="47" customFormat="1" ht="28.95" customHeight="1">
      <c r="A27" s="14">
        <v>12</v>
      </c>
      <c r="B27" s="15" t="s">
        <v>162</v>
      </c>
      <c r="C27" s="16">
        <v>2</v>
      </c>
      <c r="D27" s="16" t="s">
        <v>41</v>
      </c>
      <c r="E27" s="68" t="s">
        <v>163</v>
      </c>
      <c r="F27" s="69" t="s">
        <v>38</v>
      </c>
      <c r="G27" s="16">
        <v>84662090</v>
      </c>
      <c r="H27" s="290" t="s">
        <v>24</v>
      </c>
      <c r="I27" s="290">
        <v>8</v>
      </c>
      <c r="J27" s="16" t="s">
        <v>23</v>
      </c>
      <c r="K27" s="73">
        <v>49.702199999999998</v>
      </c>
      <c r="L27" s="74">
        <f t="shared" si="1"/>
        <v>397.61759999999998</v>
      </c>
    </row>
    <row r="28" spans="1:12" s="47" customFormat="1" ht="28.95" customHeight="1">
      <c r="A28" s="14">
        <v>13</v>
      </c>
      <c r="B28" s="15" t="s">
        <v>162</v>
      </c>
      <c r="C28" s="16">
        <v>3</v>
      </c>
      <c r="D28" s="16" t="s">
        <v>42</v>
      </c>
      <c r="E28" s="68" t="s">
        <v>163</v>
      </c>
      <c r="F28" s="69" t="s">
        <v>38</v>
      </c>
      <c r="G28" s="16">
        <v>84662090</v>
      </c>
      <c r="H28" s="290" t="s">
        <v>24</v>
      </c>
      <c r="I28" s="290">
        <v>4</v>
      </c>
      <c r="J28" s="16" t="s">
        <v>23</v>
      </c>
      <c r="K28" s="73">
        <v>49.702199999999998</v>
      </c>
      <c r="L28" s="74">
        <f t="shared" si="1"/>
        <v>198.80879999999999</v>
      </c>
    </row>
    <row r="29" spans="1:12" s="47" customFormat="1" ht="28.95" customHeight="1">
      <c r="A29" s="14">
        <v>14</v>
      </c>
      <c r="B29" s="15" t="s">
        <v>162</v>
      </c>
      <c r="C29" s="16">
        <v>4</v>
      </c>
      <c r="D29" s="16" t="s">
        <v>43</v>
      </c>
      <c r="E29" s="68" t="s">
        <v>163</v>
      </c>
      <c r="F29" s="69" t="s">
        <v>38</v>
      </c>
      <c r="G29" s="16">
        <v>84662090</v>
      </c>
      <c r="H29" s="290" t="s">
        <v>24</v>
      </c>
      <c r="I29" s="290">
        <v>8</v>
      </c>
      <c r="J29" s="16" t="s">
        <v>23</v>
      </c>
      <c r="K29" s="73">
        <v>15.0977</v>
      </c>
      <c r="L29" s="74">
        <f t="shared" si="1"/>
        <v>120.7816</v>
      </c>
    </row>
    <row r="30" spans="1:12" s="47" customFormat="1" ht="28.95" customHeight="1">
      <c r="A30" s="14">
        <v>15</v>
      </c>
      <c r="B30" s="15" t="s">
        <v>162</v>
      </c>
      <c r="C30" s="16">
        <v>1</v>
      </c>
      <c r="D30" s="16" t="s">
        <v>44</v>
      </c>
      <c r="E30" s="68" t="s">
        <v>164</v>
      </c>
      <c r="F30" s="69" t="s">
        <v>45</v>
      </c>
      <c r="G30" s="16">
        <v>84807190</v>
      </c>
      <c r="H30" s="290" t="s">
        <v>24</v>
      </c>
      <c r="I30" s="290">
        <v>1</v>
      </c>
      <c r="J30" s="16" t="s">
        <v>46</v>
      </c>
      <c r="K30" s="73">
        <v>200.41220000000001</v>
      </c>
      <c r="L30" s="74">
        <f t="shared" si="1"/>
        <v>200.41220000000001</v>
      </c>
    </row>
    <row r="31" spans="1:12" s="47" customFormat="1" ht="28.95" customHeight="1">
      <c r="A31" s="14">
        <v>16</v>
      </c>
      <c r="B31" s="15" t="s">
        <v>165</v>
      </c>
      <c r="C31" s="16">
        <v>1</v>
      </c>
      <c r="D31" s="16" t="s">
        <v>58</v>
      </c>
      <c r="E31" s="68" t="s">
        <v>166</v>
      </c>
      <c r="F31" s="69" t="s">
        <v>59</v>
      </c>
      <c r="G31" s="16">
        <v>84662090</v>
      </c>
      <c r="H31" s="290" t="s">
        <v>24</v>
      </c>
      <c r="I31" s="290">
        <v>2</v>
      </c>
      <c r="J31" s="16" t="s">
        <v>23</v>
      </c>
      <c r="K31" s="73">
        <v>13.360799999999999</v>
      </c>
      <c r="L31" s="74">
        <f t="shared" ref="L31:L68" si="2">K31*I31</f>
        <v>26.721599999999999</v>
      </c>
    </row>
    <row r="32" spans="1:12" s="47" customFormat="1" ht="28.95" customHeight="1">
      <c r="A32" s="14">
        <v>17</v>
      </c>
      <c r="B32" s="15" t="s">
        <v>165</v>
      </c>
      <c r="C32" s="16">
        <v>2</v>
      </c>
      <c r="D32" s="16" t="s">
        <v>60</v>
      </c>
      <c r="E32" s="68" t="s">
        <v>167</v>
      </c>
      <c r="F32" s="69" t="s">
        <v>61</v>
      </c>
      <c r="G32" s="16">
        <v>84662090</v>
      </c>
      <c r="H32" s="290" t="s">
        <v>24</v>
      </c>
      <c r="I32" s="290">
        <v>1</v>
      </c>
      <c r="J32" s="16" t="s">
        <v>23</v>
      </c>
      <c r="K32" s="73">
        <v>8.0165000000000006</v>
      </c>
      <c r="L32" s="74">
        <f t="shared" si="2"/>
        <v>8.0165000000000006</v>
      </c>
    </row>
    <row r="33" spans="1:12" s="47" customFormat="1" ht="28.95" customHeight="1">
      <c r="A33" s="14">
        <v>18</v>
      </c>
      <c r="B33" s="15" t="s">
        <v>165</v>
      </c>
      <c r="C33" s="16">
        <v>3</v>
      </c>
      <c r="D33" s="16" t="s">
        <v>62</v>
      </c>
      <c r="E33" s="68" t="s">
        <v>168</v>
      </c>
      <c r="F33" s="69" t="s">
        <v>63</v>
      </c>
      <c r="G33" s="16">
        <v>84662090</v>
      </c>
      <c r="H33" s="290" t="s">
        <v>24</v>
      </c>
      <c r="I33" s="290">
        <v>1</v>
      </c>
      <c r="J33" s="16" t="s">
        <v>23</v>
      </c>
      <c r="K33" s="73">
        <v>8.0165000000000006</v>
      </c>
      <c r="L33" s="74">
        <f t="shared" si="2"/>
        <v>8.0165000000000006</v>
      </c>
    </row>
    <row r="34" spans="1:12" s="47" customFormat="1" ht="28.95" customHeight="1">
      <c r="A34" s="14">
        <v>19</v>
      </c>
      <c r="B34" s="15" t="s">
        <v>165</v>
      </c>
      <c r="C34" s="16">
        <v>4</v>
      </c>
      <c r="D34" s="16" t="s">
        <v>64</v>
      </c>
      <c r="E34" s="68" t="s">
        <v>169</v>
      </c>
      <c r="F34" s="69" t="s">
        <v>65</v>
      </c>
      <c r="G34" s="16">
        <v>84662090</v>
      </c>
      <c r="H34" s="290" t="s">
        <v>24</v>
      </c>
      <c r="I34" s="290">
        <v>1</v>
      </c>
      <c r="J34" s="16" t="s">
        <v>23</v>
      </c>
      <c r="K34" s="73">
        <v>8.0165000000000006</v>
      </c>
      <c r="L34" s="74">
        <f t="shared" si="2"/>
        <v>8.0165000000000006</v>
      </c>
    </row>
    <row r="35" spans="1:12" s="47" customFormat="1" ht="28.95" customHeight="1">
      <c r="A35" s="14">
        <v>20</v>
      </c>
      <c r="B35" s="15" t="s">
        <v>165</v>
      </c>
      <c r="C35" s="16">
        <v>5</v>
      </c>
      <c r="D35" s="16" t="s">
        <v>66</v>
      </c>
      <c r="E35" s="68" t="s">
        <v>170</v>
      </c>
      <c r="F35" s="69" t="s">
        <v>67</v>
      </c>
      <c r="G35" s="16">
        <v>84662090</v>
      </c>
      <c r="H35" s="290" t="s">
        <v>24</v>
      </c>
      <c r="I35" s="290">
        <v>1</v>
      </c>
      <c r="J35" s="16" t="s">
        <v>23</v>
      </c>
      <c r="K35" s="73">
        <v>6.6803999999999997</v>
      </c>
      <c r="L35" s="74">
        <f t="shared" si="2"/>
        <v>6.6803999999999997</v>
      </c>
    </row>
    <row r="36" spans="1:12" s="47" customFormat="1" ht="28.95" customHeight="1">
      <c r="A36" s="14">
        <v>21</v>
      </c>
      <c r="B36" s="15" t="s">
        <v>165</v>
      </c>
      <c r="C36" s="16">
        <v>6</v>
      </c>
      <c r="D36" s="16" t="s">
        <v>68</v>
      </c>
      <c r="E36" s="68" t="s">
        <v>171</v>
      </c>
      <c r="F36" s="69" t="s">
        <v>69</v>
      </c>
      <c r="G36" s="16">
        <v>84662090</v>
      </c>
      <c r="H36" s="290" t="s">
        <v>24</v>
      </c>
      <c r="I36" s="290">
        <v>2</v>
      </c>
      <c r="J36" s="16" t="s">
        <v>23</v>
      </c>
      <c r="K36" s="73">
        <v>8.0165000000000006</v>
      </c>
      <c r="L36" s="74">
        <f t="shared" si="2"/>
        <v>16.033000000000001</v>
      </c>
    </row>
    <row r="37" spans="1:12" s="47" customFormat="1" ht="28.95" customHeight="1">
      <c r="A37" s="14">
        <v>22</v>
      </c>
      <c r="B37" s="15" t="s">
        <v>165</v>
      </c>
      <c r="C37" s="16">
        <v>7</v>
      </c>
      <c r="D37" s="16" t="s">
        <v>70</v>
      </c>
      <c r="E37" s="68" t="s">
        <v>172</v>
      </c>
      <c r="F37" s="69" t="s">
        <v>71</v>
      </c>
      <c r="G37" s="16">
        <v>84662090</v>
      </c>
      <c r="H37" s="290" t="s">
        <v>24</v>
      </c>
      <c r="I37" s="290">
        <v>2</v>
      </c>
      <c r="J37" s="16" t="s">
        <v>23</v>
      </c>
      <c r="K37" s="73">
        <v>8.0165000000000006</v>
      </c>
      <c r="L37" s="74">
        <f t="shared" si="2"/>
        <v>16.033000000000001</v>
      </c>
    </row>
    <row r="38" spans="1:12" s="47" customFormat="1" ht="28.95" customHeight="1">
      <c r="A38" s="14">
        <v>23</v>
      </c>
      <c r="B38" s="15" t="s">
        <v>165</v>
      </c>
      <c r="C38" s="16">
        <v>8</v>
      </c>
      <c r="D38" s="16" t="s">
        <v>72</v>
      </c>
      <c r="E38" s="68" t="s">
        <v>173</v>
      </c>
      <c r="F38" s="69" t="s">
        <v>73</v>
      </c>
      <c r="G38" s="16">
        <v>84662090</v>
      </c>
      <c r="H38" s="290" t="s">
        <v>24</v>
      </c>
      <c r="I38" s="290">
        <v>2</v>
      </c>
      <c r="J38" s="16" t="s">
        <v>23</v>
      </c>
      <c r="K38" s="73">
        <v>8.0165000000000006</v>
      </c>
      <c r="L38" s="74">
        <f t="shared" si="2"/>
        <v>16.033000000000001</v>
      </c>
    </row>
    <row r="39" spans="1:12" s="47" customFormat="1" ht="28.95" customHeight="1">
      <c r="A39" s="14">
        <v>24</v>
      </c>
      <c r="B39" s="15" t="s">
        <v>165</v>
      </c>
      <c r="C39" s="16">
        <v>9</v>
      </c>
      <c r="D39" s="16" t="s">
        <v>74</v>
      </c>
      <c r="E39" s="68" t="s">
        <v>174</v>
      </c>
      <c r="F39" s="69" t="s">
        <v>75</v>
      </c>
      <c r="G39" s="16">
        <v>84662090</v>
      </c>
      <c r="H39" s="290" t="s">
        <v>24</v>
      </c>
      <c r="I39" s="290">
        <v>2</v>
      </c>
      <c r="J39" s="16" t="s">
        <v>23</v>
      </c>
      <c r="K39" s="73">
        <v>8.0165000000000006</v>
      </c>
      <c r="L39" s="74">
        <f t="shared" si="2"/>
        <v>16.033000000000001</v>
      </c>
    </row>
    <row r="40" spans="1:12" s="47" customFormat="1" ht="28.95" customHeight="1">
      <c r="A40" s="14">
        <v>25</v>
      </c>
      <c r="B40" s="15" t="s">
        <v>165</v>
      </c>
      <c r="C40" s="16">
        <v>10</v>
      </c>
      <c r="D40" s="16" t="s">
        <v>76</v>
      </c>
      <c r="E40" s="68" t="s">
        <v>175</v>
      </c>
      <c r="F40" s="69" t="s">
        <v>77</v>
      </c>
      <c r="G40" s="16">
        <v>84662090</v>
      </c>
      <c r="H40" s="290" t="s">
        <v>24</v>
      </c>
      <c r="I40" s="290">
        <v>1</v>
      </c>
      <c r="J40" s="16" t="s">
        <v>23</v>
      </c>
      <c r="K40" s="73">
        <v>5.3442999999999996</v>
      </c>
      <c r="L40" s="74">
        <f t="shared" si="2"/>
        <v>5.3442999999999996</v>
      </c>
    </row>
    <row r="41" spans="1:12" s="47" customFormat="1" ht="28.95" customHeight="1">
      <c r="A41" s="14">
        <v>26</v>
      </c>
      <c r="B41" s="15" t="s">
        <v>165</v>
      </c>
      <c r="C41" s="16">
        <v>11</v>
      </c>
      <c r="D41" s="16" t="s">
        <v>78</v>
      </c>
      <c r="E41" s="68" t="s">
        <v>176</v>
      </c>
      <c r="F41" s="69" t="s">
        <v>79</v>
      </c>
      <c r="G41" s="16">
        <v>84662090</v>
      </c>
      <c r="H41" s="290" t="s">
        <v>24</v>
      </c>
      <c r="I41" s="290">
        <v>1</v>
      </c>
      <c r="J41" s="16" t="s">
        <v>23</v>
      </c>
      <c r="K41" s="73">
        <v>26.721599999999999</v>
      </c>
      <c r="L41" s="74">
        <f t="shared" si="2"/>
        <v>26.721599999999999</v>
      </c>
    </row>
    <row r="42" spans="1:12" s="47" customFormat="1" ht="28.95" customHeight="1">
      <c r="A42" s="14">
        <v>27</v>
      </c>
      <c r="B42" s="15" t="s">
        <v>165</v>
      </c>
      <c r="C42" s="16">
        <v>12</v>
      </c>
      <c r="D42" s="16" t="s">
        <v>80</v>
      </c>
      <c r="E42" s="68" t="s">
        <v>177</v>
      </c>
      <c r="F42" s="69" t="s">
        <v>81</v>
      </c>
      <c r="G42" s="16">
        <v>84662090</v>
      </c>
      <c r="H42" s="290" t="s">
        <v>24</v>
      </c>
      <c r="I42" s="290">
        <v>1</v>
      </c>
      <c r="J42" s="16" t="s">
        <v>23</v>
      </c>
      <c r="K42" s="73">
        <v>8.0165000000000006</v>
      </c>
      <c r="L42" s="74">
        <f t="shared" si="2"/>
        <v>8.0165000000000006</v>
      </c>
    </row>
    <row r="43" spans="1:12" s="47" customFormat="1" ht="28.95" customHeight="1">
      <c r="A43" s="14">
        <v>28</v>
      </c>
      <c r="B43" s="15" t="s">
        <v>165</v>
      </c>
      <c r="C43" s="16">
        <v>13</v>
      </c>
      <c r="D43" s="16" t="s">
        <v>82</v>
      </c>
      <c r="E43" s="68" t="s">
        <v>178</v>
      </c>
      <c r="F43" s="69" t="s">
        <v>83</v>
      </c>
      <c r="G43" s="16">
        <v>84662090</v>
      </c>
      <c r="H43" s="290" t="s">
        <v>24</v>
      </c>
      <c r="I43" s="290">
        <v>1</v>
      </c>
      <c r="J43" s="16" t="s">
        <v>23</v>
      </c>
      <c r="K43" s="73">
        <v>8.0165000000000006</v>
      </c>
      <c r="L43" s="74">
        <f t="shared" si="2"/>
        <v>8.0165000000000006</v>
      </c>
    </row>
    <row r="44" spans="1:12" s="47" customFormat="1" ht="28.95" customHeight="1">
      <c r="A44" s="14">
        <v>29</v>
      </c>
      <c r="B44" s="15" t="s">
        <v>165</v>
      </c>
      <c r="C44" s="16">
        <v>14</v>
      </c>
      <c r="D44" s="16" t="s">
        <v>84</v>
      </c>
      <c r="E44" s="68" t="s">
        <v>179</v>
      </c>
      <c r="F44" s="69" t="s">
        <v>85</v>
      </c>
      <c r="G44" s="16">
        <v>84662090</v>
      </c>
      <c r="H44" s="290" t="s">
        <v>24</v>
      </c>
      <c r="I44" s="290">
        <v>1</v>
      </c>
      <c r="J44" s="16" t="s">
        <v>23</v>
      </c>
      <c r="K44" s="73">
        <v>8.0165000000000006</v>
      </c>
      <c r="L44" s="74">
        <f t="shared" si="2"/>
        <v>8.0165000000000006</v>
      </c>
    </row>
    <row r="45" spans="1:12" s="47" customFormat="1" ht="28.95" customHeight="1">
      <c r="A45" s="14">
        <v>30</v>
      </c>
      <c r="B45" s="15" t="s">
        <v>165</v>
      </c>
      <c r="C45" s="16">
        <v>15</v>
      </c>
      <c r="D45" s="16" t="s">
        <v>86</v>
      </c>
      <c r="E45" s="68" t="s">
        <v>180</v>
      </c>
      <c r="F45" s="69" t="s">
        <v>87</v>
      </c>
      <c r="G45" s="16">
        <v>84662090</v>
      </c>
      <c r="H45" s="290" t="s">
        <v>24</v>
      </c>
      <c r="I45" s="290">
        <v>2</v>
      </c>
      <c r="J45" s="16" t="s">
        <v>23</v>
      </c>
      <c r="K45" s="73">
        <v>8.0165000000000006</v>
      </c>
      <c r="L45" s="74">
        <f t="shared" si="2"/>
        <v>16.033000000000001</v>
      </c>
    </row>
    <row r="46" spans="1:12" s="47" customFormat="1" ht="28.95" customHeight="1">
      <c r="A46" s="14">
        <v>31</v>
      </c>
      <c r="B46" s="15" t="s">
        <v>165</v>
      </c>
      <c r="C46" s="16">
        <v>16</v>
      </c>
      <c r="D46" s="16" t="s">
        <v>88</v>
      </c>
      <c r="E46" s="68" t="s">
        <v>181</v>
      </c>
      <c r="F46" s="69" t="s">
        <v>89</v>
      </c>
      <c r="G46" s="16">
        <v>84662090</v>
      </c>
      <c r="H46" s="290" t="s">
        <v>24</v>
      </c>
      <c r="I46" s="290">
        <v>1</v>
      </c>
      <c r="J46" s="16" t="s">
        <v>23</v>
      </c>
      <c r="K46" s="73">
        <v>8.0165000000000006</v>
      </c>
      <c r="L46" s="74">
        <f t="shared" si="2"/>
        <v>8.0165000000000006</v>
      </c>
    </row>
    <row r="47" spans="1:12" s="47" customFormat="1" ht="28.95" customHeight="1">
      <c r="A47" s="14">
        <v>32</v>
      </c>
      <c r="B47" s="15" t="s">
        <v>165</v>
      </c>
      <c r="C47" s="16">
        <v>17</v>
      </c>
      <c r="D47" s="16" t="s">
        <v>90</v>
      </c>
      <c r="E47" s="68" t="s">
        <v>182</v>
      </c>
      <c r="F47" s="69" t="s">
        <v>91</v>
      </c>
      <c r="G47" s="16">
        <v>84662090</v>
      </c>
      <c r="H47" s="290" t="s">
        <v>24</v>
      </c>
      <c r="I47" s="290">
        <v>1</v>
      </c>
      <c r="J47" s="16" t="s">
        <v>23</v>
      </c>
      <c r="K47" s="73">
        <v>8.0165000000000006</v>
      </c>
      <c r="L47" s="74">
        <f t="shared" si="2"/>
        <v>8.0165000000000006</v>
      </c>
    </row>
    <row r="48" spans="1:12" s="47" customFormat="1" ht="28.95" customHeight="1">
      <c r="A48" s="14">
        <v>33</v>
      </c>
      <c r="B48" s="15" t="s">
        <v>165</v>
      </c>
      <c r="C48" s="16">
        <v>18</v>
      </c>
      <c r="D48" s="16" t="s">
        <v>92</v>
      </c>
      <c r="E48" s="68" t="s">
        <v>183</v>
      </c>
      <c r="F48" s="69" t="s">
        <v>93</v>
      </c>
      <c r="G48" s="16">
        <v>84662090</v>
      </c>
      <c r="H48" s="290" t="s">
        <v>24</v>
      </c>
      <c r="I48" s="290">
        <v>1</v>
      </c>
      <c r="J48" s="16" t="s">
        <v>23</v>
      </c>
      <c r="K48" s="73">
        <v>9.3526000000000007</v>
      </c>
      <c r="L48" s="74">
        <f t="shared" si="2"/>
        <v>9.3526000000000007</v>
      </c>
    </row>
    <row r="49" spans="1:12" s="47" customFormat="1" ht="28.95" customHeight="1">
      <c r="A49" s="14">
        <v>34</v>
      </c>
      <c r="B49" s="15" t="s">
        <v>165</v>
      </c>
      <c r="C49" s="16">
        <v>19</v>
      </c>
      <c r="D49" s="16" t="s">
        <v>94</v>
      </c>
      <c r="E49" s="68" t="s">
        <v>184</v>
      </c>
      <c r="F49" s="69" t="s">
        <v>95</v>
      </c>
      <c r="G49" s="16">
        <v>84662090</v>
      </c>
      <c r="H49" s="290" t="s">
        <v>24</v>
      </c>
      <c r="I49" s="290">
        <v>1</v>
      </c>
      <c r="J49" s="16" t="s">
        <v>23</v>
      </c>
      <c r="K49" s="73">
        <v>9.3526000000000007</v>
      </c>
      <c r="L49" s="74">
        <f t="shared" si="2"/>
        <v>9.3526000000000007</v>
      </c>
    </row>
    <row r="50" spans="1:12" s="47" customFormat="1" ht="28.95" customHeight="1">
      <c r="A50" s="14">
        <v>35</v>
      </c>
      <c r="B50" s="15" t="s">
        <v>165</v>
      </c>
      <c r="C50" s="16">
        <v>20</v>
      </c>
      <c r="D50" s="16" t="s">
        <v>96</v>
      </c>
      <c r="E50" s="68" t="s">
        <v>185</v>
      </c>
      <c r="F50" s="69" t="s">
        <v>97</v>
      </c>
      <c r="G50" s="16">
        <v>84662090</v>
      </c>
      <c r="H50" s="290" t="s">
        <v>24</v>
      </c>
      <c r="I50" s="290">
        <v>3</v>
      </c>
      <c r="J50" s="16" t="s">
        <v>23</v>
      </c>
      <c r="K50" s="73">
        <v>8.0165000000000006</v>
      </c>
      <c r="L50" s="74">
        <f t="shared" si="2"/>
        <v>24.049500000000002</v>
      </c>
    </row>
    <row r="51" spans="1:12" s="47" customFormat="1" ht="28.95" customHeight="1">
      <c r="A51" s="14">
        <v>36</v>
      </c>
      <c r="B51" s="15" t="s">
        <v>165</v>
      </c>
      <c r="C51" s="16">
        <v>21</v>
      </c>
      <c r="D51" s="16" t="s">
        <v>98</v>
      </c>
      <c r="E51" s="68" t="s">
        <v>186</v>
      </c>
      <c r="F51" s="69" t="s">
        <v>63</v>
      </c>
      <c r="G51" s="16">
        <v>84662090</v>
      </c>
      <c r="H51" s="290" t="s">
        <v>24</v>
      </c>
      <c r="I51" s="290">
        <v>1</v>
      </c>
      <c r="J51" s="16" t="s">
        <v>23</v>
      </c>
      <c r="K51" s="73">
        <v>6.6803999999999997</v>
      </c>
      <c r="L51" s="74">
        <f t="shared" si="2"/>
        <v>6.6803999999999997</v>
      </c>
    </row>
    <row r="52" spans="1:12" s="47" customFormat="1" ht="28.95" customHeight="1">
      <c r="A52" s="14">
        <v>37</v>
      </c>
      <c r="B52" s="15" t="s">
        <v>165</v>
      </c>
      <c r="C52" s="16">
        <v>22</v>
      </c>
      <c r="D52" s="16" t="s">
        <v>99</v>
      </c>
      <c r="E52" s="68" t="s">
        <v>187</v>
      </c>
      <c r="F52" s="69" t="s">
        <v>100</v>
      </c>
      <c r="G52" s="16">
        <v>84662090</v>
      </c>
      <c r="H52" s="290" t="s">
        <v>24</v>
      </c>
      <c r="I52" s="290">
        <v>1</v>
      </c>
      <c r="J52" s="16" t="s">
        <v>23</v>
      </c>
      <c r="K52" s="73">
        <v>6.6803999999999997</v>
      </c>
      <c r="L52" s="74">
        <f t="shared" si="2"/>
        <v>6.6803999999999997</v>
      </c>
    </row>
    <row r="53" spans="1:12" s="47" customFormat="1" ht="28.95" customHeight="1">
      <c r="A53" s="14">
        <v>38</v>
      </c>
      <c r="B53" s="15" t="s">
        <v>165</v>
      </c>
      <c r="C53" s="16">
        <v>23</v>
      </c>
      <c r="D53" s="16" t="s">
        <v>101</v>
      </c>
      <c r="E53" s="68" t="s">
        <v>188</v>
      </c>
      <c r="F53" s="69" t="s">
        <v>102</v>
      </c>
      <c r="G53" s="16">
        <v>84662090</v>
      </c>
      <c r="H53" s="290" t="s">
        <v>24</v>
      </c>
      <c r="I53" s="290">
        <v>1</v>
      </c>
      <c r="J53" s="16" t="s">
        <v>23</v>
      </c>
      <c r="K53" s="73">
        <v>6.6803999999999997</v>
      </c>
      <c r="L53" s="74">
        <f t="shared" si="2"/>
        <v>6.6803999999999997</v>
      </c>
    </row>
    <row r="54" spans="1:12" s="47" customFormat="1" ht="28.95" customHeight="1">
      <c r="A54" s="14">
        <v>39</v>
      </c>
      <c r="B54" s="15" t="s">
        <v>165</v>
      </c>
      <c r="C54" s="16">
        <v>24</v>
      </c>
      <c r="D54" s="16" t="s">
        <v>103</v>
      </c>
      <c r="E54" s="68" t="s">
        <v>176</v>
      </c>
      <c r="F54" s="69" t="s">
        <v>79</v>
      </c>
      <c r="G54" s="16">
        <v>84662090</v>
      </c>
      <c r="H54" s="290" t="s">
        <v>24</v>
      </c>
      <c r="I54" s="290">
        <v>1</v>
      </c>
      <c r="J54" s="16" t="s">
        <v>23</v>
      </c>
      <c r="K54" s="73">
        <v>26.721599999999999</v>
      </c>
      <c r="L54" s="74">
        <f t="shared" si="2"/>
        <v>26.721599999999999</v>
      </c>
    </row>
    <row r="55" spans="1:12" s="47" customFormat="1" ht="28.95" customHeight="1">
      <c r="A55" s="14">
        <v>40</v>
      </c>
      <c r="B55" s="15" t="s">
        <v>165</v>
      </c>
      <c r="C55" s="16">
        <v>25</v>
      </c>
      <c r="D55" s="16" t="s">
        <v>104</v>
      </c>
      <c r="E55" s="68" t="s">
        <v>179</v>
      </c>
      <c r="F55" s="69" t="s">
        <v>85</v>
      </c>
      <c r="G55" s="16">
        <v>84662090</v>
      </c>
      <c r="H55" s="290" t="s">
        <v>24</v>
      </c>
      <c r="I55" s="290">
        <v>1</v>
      </c>
      <c r="J55" s="16" t="s">
        <v>23</v>
      </c>
      <c r="K55" s="73">
        <v>6.6803999999999997</v>
      </c>
      <c r="L55" s="74">
        <f t="shared" si="2"/>
        <v>6.6803999999999997</v>
      </c>
    </row>
    <row r="56" spans="1:12" s="47" customFormat="1" ht="28.95" customHeight="1">
      <c r="A56" s="14">
        <v>41</v>
      </c>
      <c r="B56" s="15" t="s">
        <v>165</v>
      </c>
      <c r="C56" s="16">
        <v>26</v>
      </c>
      <c r="D56" s="16" t="s">
        <v>105</v>
      </c>
      <c r="E56" s="68" t="s">
        <v>189</v>
      </c>
      <c r="F56" s="69" t="s">
        <v>106</v>
      </c>
      <c r="G56" s="16">
        <v>84662090</v>
      </c>
      <c r="H56" s="290" t="s">
        <v>24</v>
      </c>
      <c r="I56" s="290">
        <v>2</v>
      </c>
      <c r="J56" s="16" t="s">
        <v>23</v>
      </c>
      <c r="K56" s="73">
        <v>6.6803999999999997</v>
      </c>
      <c r="L56" s="74">
        <f t="shared" si="2"/>
        <v>13.360799999999999</v>
      </c>
    </row>
    <row r="57" spans="1:12" s="47" customFormat="1" ht="28.95" customHeight="1">
      <c r="A57" s="14">
        <v>42</v>
      </c>
      <c r="B57" s="15" t="s">
        <v>165</v>
      </c>
      <c r="C57" s="16">
        <v>27</v>
      </c>
      <c r="D57" s="16" t="s">
        <v>107</v>
      </c>
      <c r="E57" s="68" t="s">
        <v>190</v>
      </c>
      <c r="F57" s="69" t="s">
        <v>108</v>
      </c>
      <c r="G57" s="16">
        <v>84662090</v>
      </c>
      <c r="H57" s="290" t="s">
        <v>24</v>
      </c>
      <c r="I57" s="290">
        <v>1</v>
      </c>
      <c r="J57" s="16" t="s">
        <v>23</v>
      </c>
      <c r="K57" s="73">
        <v>6.6803999999999997</v>
      </c>
      <c r="L57" s="74">
        <f t="shared" si="2"/>
        <v>6.6803999999999997</v>
      </c>
    </row>
    <row r="58" spans="1:12" s="47" customFormat="1" ht="28.95" customHeight="1">
      <c r="A58" s="14">
        <v>43</v>
      </c>
      <c r="B58" s="15" t="s">
        <v>165</v>
      </c>
      <c r="C58" s="16">
        <v>28</v>
      </c>
      <c r="D58" s="16" t="s">
        <v>109</v>
      </c>
      <c r="E58" s="68" t="s">
        <v>178</v>
      </c>
      <c r="F58" s="69" t="s">
        <v>83</v>
      </c>
      <c r="G58" s="16">
        <v>84662090</v>
      </c>
      <c r="H58" s="290" t="s">
        <v>24</v>
      </c>
      <c r="I58" s="290">
        <v>1</v>
      </c>
      <c r="J58" s="16" t="s">
        <v>23</v>
      </c>
      <c r="K58" s="73">
        <v>6.6803999999999997</v>
      </c>
      <c r="L58" s="74">
        <f t="shared" si="2"/>
        <v>6.6803999999999997</v>
      </c>
    </row>
    <row r="59" spans="1:12" s="47" customFormat="1" ht="28.95" customHeight="1">
      <c r="A59" s="14">
        <v>44</v>
      </c>
      <c r="B59" s="15" t="s">
        <v>165</v>
      </c>
      <c r="C59" s="16">
        <v>29</v>
      </c>
      <c r="D59" s="16" t="s">
        <v>110</v>
      </c>
      <c r="E59" s="68" t="s">
        <v>191</v>
      </c>
      <c r="F59" s="69" t="s">
        <v>111</v>
      </c>
      <c r="G59" s="16">
        <v>84662090</v>
      </c>
      <c r="H59" s="290" t="s">
        <v>24</v>
      </c>
      <c r="I59" s="290">
        <v>3</v>
      </c>
      <c r="J59" s="16" t="s">
        <v>23</v>
      </c>
      <c r="K59" s="73">
        <v>8.0165000000000006</v>
      </c>
      <c r="L59" s="74">
        <f t="shared" si="2"/>
        <v>24.049500000000002</v>
      </c>
    </row>
    <row r="60" spans="1:12" s="47" customFormat="1" ht="28.95" customHeight="1">
      <c r="A60" s="14">
        <v>45</v>
      </c>
      <c r="B60" s="15" t="s">
        <v>165</v>
      </c>
      <c r="C60" s="16">
        <v>30</v>
      </c>
      <c r="D60" s="16" t="s">
        <v>112</v>
      </c>
      <c r="E60" s="68" t="s">
        <v>192</v>
      </c>
      <c r="F60" s="69" t="s">
        <v>113</v>
      </c>
      <c r="G60" s="16">
        <v>84662090</v>
      </c>
      <c r="H60" s="290" t="s">
        <v>24</v>
      </c>
      <c r="I60" s="290">
        <v>1</v>
      </c>
      <c r="J60" s="16" t="s">
        <v>23</v>
      </c>
      <c r="K60" s="73">
        <v>6.6803999999999997</v>
      </c>
      <c r="L60" s="74">
        <f t="shared" si="2"/>
        <v>6.6803999999999997</v>
      </c>
    </row>
    <row r="61" spans="1:12" s="47" customFormat="1" ht="28.95" customHeight="1">
      <c r="A61" s="14">
        <v>46</v>
      </c>
      <c r="B61" s="15" t="s">
        <v>165</v>
      </c>
      <c r="C61" s="16">
        <v>31</v>
      </c>
      <c r="D61" s="16" t="s">
        <v>114</v>
      </c>
      <c r="E61" s="68" t="s">
        <v>166</v>
      </c>
      <c r="F61" s="69" t="s">
        <v>59</v>
      </c>
      <c r="G61" s="16">
        <v>84662090</v>
      </c>
      <c r="H61" s="290" t="s">
        <v>24</v>
      </c>
      <c r="I61" s="290">
        <v>2</v>
      </c>
      <c r="J61" s="16" t="s">
        <v>23</v>
      </c>
      <c r="K61" s="73">
        <v>10.688599999999999</v>
      </c>
      <c r="L61" s="74">
        <f t="shared" si="2"/>
        <v>21.377199999999998</v>
      </c>
    </row>
    <row r="62" spans="1:12" s="47" customFormat="1" ht="28.95" customHeight="1">
      <c r="A62" s="14">
        <v>47</v>
      </c>
      <c r="B62" s="15" t="s">
        <v>165</v>
      </c>
      <c r="C62" s="16">
        <v>32</v>
      </c>
      <c r="D62" s="16" t="s">
        <v>115</v>
      </c>
      <c r="E62" s="68" t="s">
        <v>181</v>
      </c>
      <c r="F62" s="69" t="s">
        <v>85</v>
      </c>
      <c r="G62" s="16">
        <v>84662090</v>
      </c>
      <c r="H62" s="290" t="s">
        <v>24</v>
      </c>
      <c r="I62" s="290">
        <v>1</v>
      </c>
      <c r="J62" s="16" t="s">
        <v>23</v>
      </c>
      <c r="K62" s="73">
        <v>6.6803999999999997</v>
      </c>
      <c r="L62" s="74">
        <f t="shared" si="2"/>
        <v>6.6803999999999997</v>
      </c>
    </row>
    <row r="63" spans="1:12" s="47" customFormat="1" ht="28.95" customHeight="1">
      <c r="A63" s="14">
        <v>48</v>
      </c>
      <c r="B63" s="15" t="s">
        <v>165</v>
      </c>
      <c r="C63" s="16">
        <v>33</v>
      </c>
      <c r="D63" s="16" t="s">
        <v>116</v>
      </c>
      <c r="E63" s="68" t="s">
        <v>193</v>
      </c>
      <c r="F63" s="69" t="s">
        <v>117</v>
      </c>
      <c r="G63" s="16">
        <v>84662090</v>
      </c>
      <c r="H63" s="290" t="s">
        <v>24</v>
      </c>
      <c r="I63" s="290">
        <v>1</v>
      </c>
      <c r="J63" s="16" t="s">
        <v>23</v>
      </c>
      <c r="K63" s="73">
        <v>6.6803999999999997</v>
      </c>
      <c r="L63" s="74">
        <f t="shared" si="2"/>
        <v>6.6803999999999997</v>
      </c>
    </row>
    <row r="64" spans="1:12" s="47" customFormat="1" ht="28.95" customHeight="1">
      <c r="A64" s="14">
        <v>49</v>
      </c>
      <c r="B64" s="15" t="s">
        <v>165</v>
      </c>
      <c r="C64" s="16">
        <v>34</v>
      </c>
      <c r="D64" s="16" t="s">
        <v>118</v>
      </c>
      <c r="E64" s="68" t="s">
        <v>194</v>
      </c>
      <c r="F64" s="69" t="s">
        <v>119</v>
      </c>
      <c r="G64" s="16">
        <v>84662090</v>
      </c>
      <c r="H64" s="290" t="s">
        <v>24</v>
      </c>
      <c r="I64" s="290">
        <v>1</v>
      </c>
      <c r="J64" s="16" t="s">
        <v>23</v>
      </c>
      <c r="K64" s="73">
        <v>6.6803999999999997</v>
      </c>
      <c r="L64" s="74">
        <f t="shared" si="2"/>
        <v>6.6803999999999997</v>
      </c>
    </row>
    <row r="65" spans="1:15" s="47" customFormat="1" ht="28.95" customHeight="1">
      <c r="A65" s="14">
        <v>50</v>
      </c>
      <c r="B65" s="15" t="s">
        <v>165</v>
      </c>
      <c r="C65" s="16">
        <v>35</v>
      </c>
      <c r="D65" s="16" t="s">
        <v>120</v>
      </c>
      <c r="E65" s="68" t="s">
        <v>195</v>
      </c>
      <c r="F65" s="69" t="s">
        <v>121</v>
      </c>
      <c r="G65" s="16">
        <v>84662090</v>
      </c>
      <c r="H65" s="290" t="s">
        <v>24</v>
      </c>
      <c r="I65" s="290">
        <v>1</v>
      </c>
      <c r="J65" s="16" t="s">
        <v>23</v>
      </c>
      <c r="K65" s="73">
        <v>6.6803999999999997</v>
      </c>
      <c r="L65" s="74">
        <f t="shared" si="2"/>
        <v>6.6803999999999997</v>
      </c>
    </row>
    <row r="66" spans="1:15" s="47" customFormat="1" ht="28.95" customHeight="1">
      <c r="A66" s="14">
        <v>51</v>
      </c>
      <c r="B66" s="15" t="s">
        <v>165</v>
      </c>
      <c r="C66" s="16">
        <v>36</v>
      </c>
      <c r="D66" s="16" t="s">
        <v>122</v>
      </c>
      <c r="E66" s="68" t="s">
        <v>196</v>
      </c>
      <c r="F66" s="69" t="s">
        <v>123</v>
      </c>
      <c r="G66" s="16">
        <v>84662090</v>
      </c>
      <c r="H66" s="290" t="s">
        <v>24</v>
      </c>
      <c r="I66" s="290">
        <v>3</v>
      </c>
      <c r="J66" s="16" t="s">
        <v>23</v>
      </c>
      <c r="K66" s="73">
        <v>20.0412</v>
      </c>
      <c r="L66" s="74">
        <f t="shared" si="2"/>
        <v>60.123599999999996</v>
      </c>
    </row>
    <row r="67" spans="1:15" s="47" customFormat="1" ht="28.95" customHeight="1">
      <c r="A67" s="14">
        <v>52</v>
      </c>
      <c r="B67" s="15" t="s">
        <v>165</v>
      </c>
      <c r="C67" s="16">
        <v>37</v>
      </c>
      <c r="D67" s="16" t="s">
        <v>124</v>
      </c>
      <c r="E67" s="68" t="s">
        <v>197</v>
      </c>
      <c r="F67" s="69" t="s">
        <v>125</v>
      </c>
      <c r="G67" s="16">
        <v>90308410</v>
      </c>
      <c r="H67" s="290" t="s">
        <v>24</v>
      </c>
      <c r="I67" s="290">
        <v>3</v>
      </c>
      <c r="J67" s="16" t="s">
        <v>23</v>
      </c>
      <c r="K67" s="73">
        <v>40.0824</v>
      </c>
      <c r="L67" s="74">
        <f t="shared" si="2"/>
        <v>120.24719999999999</v>
      </c>
    </row>
    <row r="68" spans="1:15" s="47" customFormat="1" ht="28.95" customHeight="1">
      <c r="A68" s="14">
        <v>53</v>
      </c>
      <c r="B68" s="15" t="s">
        <v>165</v>
      </c>
      <c r="C68" s="16">
        <v>38</v>
      </c>
      <c r="D68" s="16" t="s">
        <v>126</v>
      </c>
      <c r="E68" s="68" t="s">
        <v>198</v>
      </c>
      <c r="F68" s="69" t="s">
        <v>127</v>
      </c>
      <c r="G68" s="16">
        <v>73144900</v>
      </c>
      <c r="H68" s="290" t="s">
        <v>24</v>
      </c>
      <c r="I68" s="290">
        <v>1</v>
      </c>
      <c r="J68" s="16" t="s">
        <v>23</v>
      </c>
      <c r="K68" s="73">
        <v>19.373200000000001</v>
      </c>
      <c r="L68" s="74">
        <f t="shared" si="2"/>
        <v>19.373200000000001</v>
      </c>
    </row>
    <row r="69" spans="1:15" s="48" customFormat="1" ht="21.9" customHeight="1">
      <c r="A69" s="237" t="s">
        <v>199</v>
      </c>
      <c r="B69" s="238"/>
      <c r="C69" s="238"/>
      <c r="D69" s="238"/>
      <c r="E69" s="238"/>
      <c r="F69" s="238"/>
      <c r="G69" s="238"/>
      <c r="H69" s="238"/>
      <c r="I69" s="81">
        <f>SUM(I16:I68)</f>
        <v>193</v>
      </c>
      <c r="J69" s="81"/>
      <c r="K69" s="82"/>
      <c r="L69" s="83">
        <f>SUM(L16:L68)</f>
        <v>7602.5543000000007</v>
      </c>
      <c r="M69" s="47"/>
      <c r="N69" s="47"/>
      <c r="O69" s="47"/>
    </row>
    <row r="70" spans="1:15" s="45" customFormat="1" ht="24" customHeight="1">
      <c r="A70" s="75"/>
      <c r="G70" s="76"/>
      <c r="I70" s="84"/>
      <c r="J70" s="85"/>
      <c r="K70" s="86"/>
      <c r="L70" s="87"/>
    </row>
    <row r="71" spans="1:15" s="45" customFormat="1" ht="16.2">
      <c r="A71" s="75"/>
      <c r="G71" s="76"/>
      <c r="I71" s="239" t="s">
        <v>9</v>
      </c>
      <c r="J71" s="240"/>
      <c r="K71" s="241"/>
      <c r="L71" s="242"/>
    </row>
    <row r="72" spans="1:15" s="45" customFormat="1" ht="16.2">
      <c r="A72" s="75"/>
      <c r="G72" s="76"/>
      <c r="I72" s="88"/>
      <c r="J72" s="89"/>
      <c r="K72" s="90"/>
      <c r="L72" s="87"/>
    </row>
    <row r="73" spans="1:15" ht="17.399999999999999">
      <c r="A73" s="77"/>
      <c r="F73" s="78"/>
      <c r="I73" s="91"/>
      <c r="J73" s="92"/>
      <c r="K73" s="93"/>
      <c r="L73" s="94"/>
    </row>
    <row r="74" spans="1:15" ht="17.399999999999999">
      <c r="A74" s="77"/>
      <c r="I74" s="91"/>
      <c r="J74" s="92"/>
      <c r="K74" s="93"/>
      <c r="L74" s="94"/>
    </row>
    <row r="75" spans="1:15" ht="17.399999999999999">
      <c r="A75" s="77"/>
      <c r="I75" s="91"/>
      <c r="J75" s="92"/>
      <c r="K75" s="93"/>
      <c r="L75" s="94"/>
    </row>
    <row r="76" spans="1:15" ht="17.399999999999999">
      <c r="A76" s="77"/>
      <c r="I76" s="91"/>
      <c r="J76" s="92"/>
      <c r="K76" s="93"/>
      <c r="L76" s="94"/>
    </row>
    <row r="77" spans="1:15" ht="17.399999999999999">
      <c r="A77" s="77"/>
      <c r="I77" s="91"/>
      <c r="J77" s="92"/>
      <c r="K77" s="93"/>
      <c r="L77" s="94"/>
    </row>
    <row r="78" spans="1:15" ht="17.399999999999999">
      <c r="A78" s="79"/>
      <c r="B78" s="80"/>
      <c r="C78" s="80"/>
      <c r="D78" s="80"/>
      <c r="E78" s="80"/>
      <c r="F78" s="80"/>
      <c r="G78" s="36"/>
      <c r="H78" s="80"/>
      <c r="I78" s="95"/>
      <c r="J78" s="96"/>
      <c r="K78" s="97"/>
      <c r="L78" s="98"/>
    </row>
  </sheetData>
  <mergeCells count="32">
    <mergeCell ref="A69:H69"/>
    <mergeCell ref="I71:L71"/>
    <mergeCell ref="A14:A15"/>
    <mergeCell ref="G14:G15"/>
    <mergeCell ref="H14:H15"/>
    <mergeCell ref="I14:I15"/>
    <mergeCell ref="J14:J15"/>
    <mergeCell ref="K14:K15"/>
    <mergeCell ref="L14:L15"/>
    <mergeCell ref="J12:L12"/>
    <mergeCell ref="A13:F13"/>
    <mergeCell ref="G13:I13"/>
    <mergeCell ref="J13:L13"/>
    <mergeCell ref="B14:F14"/>
    <mergeCell ref="B8:I8"/>
    <mergeCell ref="J8:L8"/>
    <mergeCell ref="J9:L9"/>
    <mergeCell ref="J10:L10"/>
    <mergeCell ref="B11:I11"/>
    <mergeCell ref="J11:L11"/>
    <mergeCell ref="B9:I10"/>
    <mergeCell ref="J4:L4"/>
    <mergeCell ref="J5:L5"/>
    <mergeCell ref="J6:L6"/>
    <mergeCell ref="A7:B7"/>
    <mergeCell ref="J7:L7"/>
    <mergeCell ref="B4:I5"/>
    <mergeCell ref="A1:L1"/>
    <mergeCell ref="A2:B2"/>
    <mergeCell ref="J2:L2"/>
    <mergeCell ref="B3:I3"/>
    <mergeCell ref="J3:L3"/>
  </mergeCells>
  <printOptions horizontalCentered="1"/>
  <pageMargins left="0.25" right="0.25" top="0.75" bottom="0.75" header="0.29861111111111099" footer="0.29861111111111099"/>
  <pageSetup paperSize="9" scale="75" orientation="landscape" r:id="rId1"/>
  <headerFooter>
    <oddFooter>&amp;C&amp;P/&amp;N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K74"/>
  <sheetViews>
    <sheetView zoomScale="90" zoomScaleNormal="90" workbookViewId="0">
      <selection activeCell="J77" sqref="J77"/>
    </sheetView>
  </sheetViews>
  <sheetFormatPr defaultColWidth="9" defaultRowHeight="14.4"/>
  <cols>
    <col min="1" max="1" width="5.109375" style="1" customWidth="1"/>
    <col min="2" max="2" width="16.88671875" style="1" customWidth="1"/>
    <col min="3" max="3" width="8.44140625" style="1" customWidth="1"/>
    <col min="4" max="4" width="19.88671875" style="1" customWidth="1"/>
    <col min="5" max="5" width="45.21875" style="1" customWidth="1"/>
    <col min="6" max="6" width="11.88671875" style="3" customWidth="1"/>
    <col min="7" max="7" width="9.109375" style="3" customWidth="1"/>
    <col min="8" max="8" width="10.21875" style="4" customWidth="1"/>
    <col min="9" max="9" width="9.44140625" style="5" customWidth="1"/>
    <col min="10" max="10" width="10.77734375" style="5" customWidth="1"/>
    <col min="11" max="11" width="4.44140625" style="6" customWidth="1"/>
    <col min="12" max="16384" width="9" style="1"/>
  </cols>
  <sheetData>
    <row r="1" spans="1:11" ht="37.5" customHeight="1">
      <c r="A1" s="257" t="s">
        <v>200</v>
      </c>
      <c r="B1" s="258"/>
      <c r="C1" s="258"/>
      <c r="D1" s="258"/>
      <c r="E1" s="258"/>
      <c r="F1" s="258"/>
      <c r="G1" s="258"/>
      <c r="H1" s="259"/>
      <c r="I1" s="260"/>
      <c r="J1" s="260"/>
      <c r="K1" s="261"/>
    </row>
    <row r="2" spans="1:11" ht="20.100000000000001" customHeight="1">
      <c r="A2" s="262" t="s">
        <v>8</v>
      </c>
      <c r="B2" s="263"/>
      <c r="C2" s="263"/>
      <c r="D2" s="263"/>
      <c r="E2" s="263"/>
      <c r="F2" s="263"/>
      <c r="G2" s="263"/>
      <c r="H2" s="7" t="str">
        <f>'Invoice '!J2</f>
        <v>INVOICE NO:MPT250046</v>
      </c>
      <c r="I2" s="18"/>
      <c r="J2" s="18"/>
      <c r="K2" s="19"/>
    </row>
    <row r="3" spans="1:11" ht="20.100000000000001" customHeight="1">
      <c r="A3" s="8"/>
      <c r="B3" s="264" t="str">
        <f>'Invoice '!B3</f>
        <v>NAME:MOONPO TRADING(SHENZHEN)CO.,LTD</v>
      </c>
      <c r="C3" s="264"/>
      <c r="D3" s="264"/>
      <c r="E3" s="264"/>
      <c r="F3" s="264"/>
      <c r="G3" s="264"/>
      <c r="H3" s="9" t="str">
        <f>'Invoice '!J3</f>
        <v>INVOICE DATE:2025-07-23</v>
      </c>
      <c r="I3" s="20"/>
      <c r="J3" s="20"/>
      <c r="K3" s="21"/>
    </row>
    <row r="4" spans="1:11" ht="20.100000000000001" customHeight="1">
      <c r="A4" s="8"/>
      <c r="B4" s="289" t="s">
        <v>10</v>
      </c>
      <c r="C4" s="289"/>
      <c r="D4" s="289"/>
      <c r="E4" s="289"/>
      <c r="F4" s="289"/>
      <c r="G4" s="289"/>
      <c r="H4" s="9" t="str">
        <f>'Invoice '!J4</f>
        <v>PO NO：Below list</v>
      </c>
      <c r="I4" s="22"/>
      <c r="J4" s="22"/>
      <c r="K4" s="23"/>
    </row>
    <row r="5" spans="1:11" ht="20.100000000000001" customHeight="1">
      <c r="A5" s="8"/>
      <c r="B5" s="289"/>
      <c r="C5" s="289"/>
      <c r="D5" s="289"/>
      <c r="E5" s="289"/>
      <c r="F5" s="289"/>
      <c r="G5" s="289"/>
      <c r="H5" s="9" t="str">
        <f>'Invoice '!J5</f>
        <v>PAYMENT TERMS: TT</v>
      </c>
      <c r="I5" s="20"/>
      <c r="J5" s="20"/>
      <c r="K5" s="21"/>
    </row>
    <row r="6" spans="1:11" ht="21.75" customHeight="1">
      <c r="A6" s="10"/>
      <c r="B6" s="265" t="str">
        <f>'Invoice '!B6</f>
        <v>TELL: 0755-29698989</v>
      </c>
      <c r="C6" s="265"/>
      <c r="D6" s="265"/>
      <c r="E6" s="265"/>
      <c r="F6" s="265"/>
      <c r="G6" s="265"/>
      <c r="H6" s="9" t="str">
        <f>'Invoice '!J6</f>
        <v>DELIVERY TERMS:C&amp;F HAIPHONG</v>
      </c>
      <c r="I6" s="20"/>
      <c r="J6" s="20"/>
      <c r="K6" s="21"/>
    </row>
    <row r="7" spans="1:11" ht="20.100000000000001" customHeight="1">
      <c r="A7" s="262" t="s">
        <v>3</v>
      </c>
      <c r="B7" s="263"/>
      <c r="C7" s="263"/>
      <c r="D7" s="263"/>
      <c r="E7" s="263"/>
      <c r="F7" s="263"/>
      <c r="G7" s="263"/>
      <c r="H7" s="9" t="str">
        <f>'Invoice '!J7</f>
        <v>PORT OF LOADING:SHEKOU</v>
      </c>
      <c r="I7" s="20"/>
      <c r="J7" s="20"/>
      <c r="K7" s="21"/>
    </row>
    <row r="8" spans="1:11" ht="20.100000000000001" customHeight="1">
      <c r="A8" s="8"/>
      <c r="B8" s="264" t="str">
        <f>'Invoice '!B8</f>
        <v>NAME: MOONPO DEVELOPMENT(VIETNAM) LIMITED</v>
      </c>
      <c r="C8" s="264"/>
      <c r="D8" s="264"/>
      <c r="E8" s="264"/>
      <c r="F8" s="264"/>
      <c r="G8" s="264"/>
      <c r="H8" s="9" t="str">
        <f>'Invoice '!J8</f>
        <v>PORT OF DISCHARGE: HAIPHONG</v>
      </c>
      <c r="I8" s="20"/>
      <c r="J8" s="20"/>
      <c r="K8" s="21"/>
    </row>
    <row r="9" spans="1:11" ht="20.100000000000001" customHeight="1">
      <c r="A9" s="8"/>
      <c r="B9" s="289" t="str">
        <f>'Invoice '!B9</f>
        <v>ADDRESS: LOT CN-01，DONG VAN IV INDUSTRIAL ZONE,LE HO WARD,NINH BINH PROVINCE, VIET NAM</v>
      </c>
      <c r="C9" s="289"/>
      <c r="D9" s="289"/>
      <c r="E9" s="289"/>
      <c r="F9" s="289"/>
      <c r="G9" s="289"/>
      <c r="H9" s="9" t="str">
        <f>'Invoice '!J9</f>
        <v>PORT OF TRANSIT:</v>
      </c>
      <c r="I9" s="20"/>
      <c r="J9" s="20"/>
      <c r="K9" s="21"/>
    </row>
    <row r="10" spans="1:11" ht="27.75" customHeight="1">
      <c r="A10" s="8"/>
      <c r="B10" s="289"/>
      <c r="C10" s="289"/>
      <c r="D10" s="289"/>
      <c r="E10" s="289"/>
      <c r="F10" s="289"/>
      <c r="G10" s="289"/>
      <c r="H10" s="9" t="str">
        <f>'Invoice '!J10</f>
        <v>ETD POL:2025-07-28</v>
      </c>
      <c r="I10" s="20"/>
      <c r="J10" s="20"/>
      <c r="K10" s="21"/>
    </row>
    <row r="11" spans="1:11" ht="20.100000000000001" customHeight="1">
      <c r="A11" s="8"/>
      <c r="B11" s="265" t="str">
        <f>'Invoice '!B11</f>
        <v>TAX NUMBER: 0700834811</v>
      </c>
      <c r="C11" s="265"/>
      <c r="D11" s="265"/>
      <c r="E11" s="265"/>
      <c r="F11" s="265"/>
      <c r="G11" s="265"/>
      <c r="H11" s="9" t="str">
        <f>'Invoice '!J11</f>
        <v>ETA POD:2025-07-31</v>
      </c>
      <c r="I11" s="20"/>
      <c r="J11" s="20"/>
      <c r="K11" s="21"/>
    </row>
    <row r="12" spans="1:11" ht="20.100000000000001" customHeight="1">
      <c r="A12" s="8"/>
      <c r="B12" s="265" t="str">
        <f>'Invoice '!B12</f>
        <v>TELL:(+84) 9885 16638, Email: ltlien@moonpo.com</v>
      </c>
      <c r="C12" s="265"/>
      <c r="D12" s="265"/>
      <c r="E12" s="265"/>
      <c r="F12" s="265"/>
      <c r="G12" s="265"/>
      <c r="H12" s="11"/>
      <c r="I12" s="24"/>
      <c r="J12" s="24"/>
      <c r="K12" s="25"/>
    </row>
    <row r="13" spans="1:11" ht="23.1" customHeight="1">
      <c r="A13" s="266" t="s">
        <v>145</v>
      </c>
      <c r="B13" s="267"/>
      <c r="C13" s="267"/>
      <c r="D13" s="267"/>
      <c r="E13" s="267"/>
      <c r="F13" s="267"/>
      <c r="G13" s="268"/>
      <c r="H13" s="269"/>
      <c r="I13" s="270"/>
      <c r="J13" s="270"/>
      <c r="K13" s="271"/>
    </row>
    <row r="14" spans="1:11" ht="19.5" customHeight="1">
      <c r="A14" s="280" t="s">
        <v>12</v>
      </c>
      <c r="B14" s="272" t="s">
        <v>146</v>
      </c>
      <c r="C14" s="273"/>
      <c r="D14" s="273"/>
      <c r="E14" s="274"/>
      <c r="F14" s="282" t="s">
        <v>201</v>
      </c>
      <c r="G14" s="284" t="s">
        <v>15</v>
      </c>
      <c r="H14" s="284" t="s">
        <v>202</v>
      </c>
      <c r="I14" s="285" t="s">
        <v>203</v>
      </c>
      <c r="J14" s="285" t="s">
        <v>204</v>
      </c>
      <c r="K14" s="287" t="s">
        <v>205</v>
      </c>
    </row>
    <row r="15" spans="1:11" ht="31.05" customHeight="1">
      <c r="A15" s="281"/>
      <c r="B15" s="12" t="s">
        <v>149</v>
      </c>
      <c r="C15" s="13" t="s">
        <v>150</v>
      </c>
      <c r="D15" s="12" t="s">
        <v>151</v>
      </c>
      <c r="E15" s="13" t="s">
        <v>20</v>
      </c>
      <c r="F15" s="283"/>
      <c r="G15" s="283"/>
      <c r="H15" s="283"/>
      <c r="I15" s="286"/>
      <c r="J15" s="286"/>
      <c r="K15" s="288"/>
    </row>
    <row r="16" spans="1:11" ht="24" customHeight="1">
      <c r="A16" s="14">
        <v>1</v>
      </c>
      <c r="B16" s="15" t="s">
        <v>153</v>
      </c>
      <c r="C16" s="16" t="s">
        <v>154</v>
      </c>
      <c r="D16" s="16" t="s">
        <v>21</v>
      </c>
      <c r="E16" s="16" t="s">
        <v>22</v>
      </c>
      <c r="F16" s="16">
        <v>28</v>
      </c>
      <c r="G16" s="16" t="s">
        <v>23</v>
      </c>
      <c r="H16" s="17" t="s">
        <v>206</v>
      </c>
      <c r="I16" s="26">
        <v>25.3</v>
      </c>
      <c r="J16" s="26">
        <v>21.56</v>
      </c>
      <c r="K16" s="27"/>
    </row>
    <row r="17" spans="1:11" ht="24" customHeight="1">
      <c r="A17" s="14">
        <v>2</v>
      </c>
      <c r="B17" s="15" t="s">
        <v>156</v>
      </c>
      <c r="C17" s="16">
        <v>1</v>
      </c>
      <c r="D17" s="16" t="s">
        <v>52</v>
      </c>
      <c r="E17" s="17" t="s">
        <v>53</v>
      </c>
      <c r="F17" s="16">
        <v>4</v>
      </c>
      <c r="G17" s="16" t="s">
        <v>23</v>
      </c>
      <c r="H17" s="17" t="s">
        <v>206</v>
      </c>
      <c r="I17" s="26">
        <v>0</v>
      </c>
      <c r="J17" s="26">
        <v>2.38</v>
      </c>
      <c r="K17" s="27"/>
    </row>
    <row r="18" spans="1:11" ht="24" customHeight="1">
      <c r="A18" s="14">
        <v>3</v>
      </c>
      <c r="B18" s="15" t="s">
        <v>156</v>
      </c>
      <c r="C18" s="16">
        <v>2</v>
      </c>
      <c r="D18" s="16" t="s">
        <v>54</v>
      </c>
      <c r="E18" s="17" t="s">
        <v>53</v>
      </c>
      <c r="F18" s="16">
        <v>4</v>
      </c>
      <c r="G18" s="16" t="s">
        <v>23</v>
      </c>
      <c r="H18" s="17" t="s">
        <v>206</v>
      </c>
      <c r="I18" s="26">
        <v>0</v>
      </c>
      <c r="J18" s="26">
        <v>0.33</v>
      </c>
      <c r="K18" s="27"/>
    </row>
    <row r="19" spans="1:11" ht="24" customHeight="1">
      <c r="A19" s="14">
        <v>4</v>
      </c>
      <c r="B19" s="15" t="s">
        <v>153</v>
      </c>
      <c r="C19" s="16">
        <v>2</v>
      </c>
      <c r="D19" s="16" t="s">
        <v>25</v>
      </c>
      <c r="E19" s="17" t="s">
        <v>26</v>
      </c>
      <c r="F19" s="16">
        <v>10</v>
      </c>
      <c r="G19" s="16" t="s">
        <v>23</v>
      </c>
      <c r="H19" s="17" t="s">
        <v>206</v>
      </c>
      <c r="I19" s="26">
        <v>0</v>
      </c>
      <c r="J19" s="26">
        <v>0.02</v>
      </c>
      <c r="K19" s="27"/>
    </row>
    <row r="20" spans="1:11" ht="24" customHeight="1">
      <c r="A20" s="14"/>
      <c r="B20" s="15" t="s">
        <v>159</v>
      </c>
      <c r="C20" s="16">
        <v>1</v>
      </c>
      <c r="D20" s="16" t="s">
        <v>48</v>
      </c>
      <c r="E20" s="17" t="s">
        <v>49</v>
      </c>
      <c r="F20" s="16">
        <v>10</v>
      </c>
      <c r="G20" s="16" t="s">
        <v>23</v>
      </c>
      <c r="H20" s="17" t="s">
        <v>207</v>
      </c>
      <c r="I20" s="26">
        <v>6.5</v>
      </c>
      <c r="J20" s="26">
        <v>3.55</v>
      </c>
      <c r="K20" s="27"/>
    </row>
    <row r="21" spans="1:11" ht="24" customHeight="1">
      <c r="A21" s="14"/>
      <c r="B21" s="15" t="s">
        <v>159</v>
      </c>
      <c r="C21" s="16">
        <v>2</v>
      </c>
      <c r="D21" s="16" t="s">
        <v>50</v>
      </c>
      <c r="E21" s="17" t="s">
        <v>49</v>
      </c>
      <c r="F21" s="16">
        <v>30</v>
      </c>
      <c r="G21" s="16" t="s">
        <v>23</v>
      </c>
      <c r="H21" s="17" t="s">
        <v>207</v>
      </c>
      <c r="I21" s="26">
        <v>0</v>
      </c>
      <c r="J21" s="26">
        <v>2.7</v>
      </c>
      <c r="K21" s="27"/>
    </row>
    <row r="22" spans="1:11" ht="24" customHeight="1">
      <c r="A22" s="14"/>
      <c r="B22" s="15" t="s">
        <v>156</v>
      </c>
      <c r="C22" s="16">
        <v>3</v>
      </c>
      <c r="D22" s="16" t="s">
        <v>55</v>
      </c>
      <c r="E22" s="17" t="s">
        <v>56</v>
      </c>
      <c r="F22" s="16">
        <v>14</v>
      </c>
      <c r="G22" s="16" t="s">
        <v>23</v>
      </c>
      <c r="H22" s="17" t="s">
        <v>208</v>
      </c>
      <c r="I22" s="26">
        <v>40</v>
      </c>
      <c r="J22" s="26">
        <v>30.52</v>
      </c>
      <c r="K22" s="27"/>
    </row>
    <row r="23" spans="1:11" ht="24" customHeight="1">
      <c r="A23" s="14"/>
      <c r="B23" s="15" t="s">
        <v>162</v>
      </c>
      <c r="C23" s="16">
        <v>5</v>
      </c>
      <c r="D23" s="16" t="s">
        <v>37</v>
      </c>
      <c r="E23" s="17" t="s">
        <v>38</v>
      </c>
      <c r="F23" s="16">
        <v>8</v>
      </c>
      <c r="G23" s="16" t="s">
        <v>23</v>
      </c>
      <c r="H23" s="17" t="s">
        <v>209</v>
      </c>
      <c r="I23" s="26">
        <v>12</v>
      </c>
      <c r="J23" s="26">
        <v>11.5</v>
      </c>
      <c r="K23" s="27"/>
    </row>
    <row r="24" spans="1:11" ht="24" customHeight="1">
      <c r="A24" s="14"/>
      <c r="B24" s="15" t="s">
        <v>162</v>
      </c>
      <c r="C24" s="16">
        <v>5</v>
      </c>
      <c r="D24" s="16" t="s">
        <v>37</v>
      </c>
      <c r="E24" s="17" t="s">
        <v>38</v>
      </c>
      <c r="F24" s="16">
        <v>4</v>
      </c>
      <c r="G24" s="16" t="s">
        <v>23</v>
      </c>
      <c r="H24" s="17" t="s">
        <v>210</v>
      </c>
      <c r="I24" s="26">
        <v>11.5</v>
      </c>
      <c r="J24" s="26">
        <v>6</v>
      </c>
      <c r="K24" s="27"/>
    </row>
    <row r="25" spans="1:11" ht="24" customHeight="1">
      <c r="A25" s="14"/>
      <c r="B25" s="15" t="s">
        <v>162</v>
      </c>
      <c r="C25" s="16">
        <v>7</v>
      </c>
      <c r="D25" s="16" t="s">
        <v>39</v>
      </c>
      <c r="E25" s="17" t="s">
        <v>38</v>
      </c>
      <c r="F25" s="16">
        <v>4</v>
      </c>
      <c r="G25" s="16" t="s">
        <v>23</v>
      </c>
      <c r="H25" s="17" t="s">
        <v>210</v>
      </c>
      <c r="I25" s="26">
        <v>0</v>
      </c>
      <c r="J25" s="26">
        <v>5</v>
      </c>
      <c r="K25" s="27"/>
    </row>
    <row r="26" spans="1:11" ht="24" customHeight="1">
      <c r="A26" s="14"/>
      <c r="B26" s="15" t="s">
        <v>162</v>
      </c>
      <c r="C26" s="16">
        <v>6</v>
      </c>
      <c r="D26" s="16" t="s">
        <v>40</v>
      </c>
      <c r="E26" s="17" t="s">
        <v>38</v>
      </c>
      <c r="F26" s="16">
        <v>2</v>
      </c>
      <c r="G26" s="16" t="s">
        <v>23</v>
      </c>
      <c r="H26" s="17" t="s">
        <v>211</v>
      </c>
      <c r="I26" s="26">
        <v>18.5</v>
      </c>
      <c r="J26" s="26">
        <v>2.4</v>
      </c>
      <c r="K26" s="27"/>
    </row>
    <row r="27" spans="1:11" ht="24" customHeight="1">
      <c r="A27" s="14"/>
      <c r="B27" s="15" t="s">
        <v>162</v>
      </c>
      <c r="C27" s="16">
        <v>2</v>
      </c>
      <c r="D27" s="16" t="s">
        <v>41</v>
      </c>
      <c r="E27" s="17" t="s">
        <v>38</v>
      </c>
      <c r="F27" s="16">
        <v>8</v>
      </c>
      <c r="G27" s="16" t="s">
        <v>23</v>
      </c>
      <c r="H27" s="17" t="s">
        <v>211</v>
      </c>
      <c r="I27" s="26">
        <v>0</v>
      </c>
      <c r="J27" s="26">
        <v>10.5</v>
      </c>
      <c r="K27" s="27"/>
    </row>
    <row r="28" spans="1:11" ht="24" customHeight="1">
      <c r="A28" s="14"/>
      <c r="B28" s="15" t="s">
        <v>162</v>
      </c>
      <c r="C28" s="16">
        <v>3</v>
      </c>
      <c r="D28" s="16" t="s">
        <v>42</v>
      </c>
      <c r="E28" s="17" t="s">
        <v>38</v>
      </c>
      <c r="F28" s="16">
        <v>4</v>
      </c>
      <c r="G28" s="16" t="s">
        <v>23</v>
      </c>
      <c r="H28" s="17" t="s">
        <v>211</v>
      </c>
      <c r="I28" s="26">
        <v>0</v>
      </c>
      <c r="J28" s="26">
        <v>3.6</v>
      </c>
      <c r="K28" s="27"/>
    </row>
    <row r="29" spans="1:11" ht="24" customHeight="1">
      <c r="A29" s="14"/>
      <c r="B29" s="15" t="s">
        <v>162</v>
      </c>
      <c r="C29" s="16">
        <v>4</v>
      </c>
      <c r="D29" s="16" t="s">
        <v>43</v>
      </c>
      <c r="E29" s="17" t="s">
        <v>38</v>
      </c>
      <c r="F29" s="16">
        <v>8</v>
      </c>
      <c r="G29" s="16" t="s">
        <v>23</v>
      </c>
      <c r="H29" s="17" t="s">
        <v>211</v>
      </c>
      <c r="I29" s="26">
        <v>0</v>
      </c>
      <c r="J29" s="26">
        <v>1.5</v>
      </c>
      <c r="K29" s="27"/>
    </row>
    <row r="30" spans="1:11" ht="24" customHeight="1">
      <c r="A30" s="14"/>
      <c r="B30" s="15" t="s">
        <v>162</v>
      </c>
      <c r="C30" s="16">
        <v>1</v>
      </c>
      <c r="D30" s="16" t="s">
        <v>44</v>
      </c>
      <c r="E30" s="17" t="s">
        <v>45</v>
      </c>
      <c r="F30" s="16">
        <v>1</v>
      </c>
      <c r="G30" s="16" t="s">
        <v>46</v>
      </c>
      <c r="H30" s="17" t="s">
        <v>212</v>
      </c>
      <c r="I30" s="26">
        <v>3</v>
      </c>
      <c r="J30" s="26">
        <v>2.3199999999999998</v>
      </c>
      <c r="K30" s="27"/>
    </row>
    <row r="31" spans="1:11" ht="24" customHeight="1">
      <c r="A31" s="14"/>
      <c r="B31" s="15" t="s">
        <v>165</v>
      </c>
      <c r="C31" s="16">
        <v>1</v>
      </c>
      <c r="D31" s="16" t="s">
        <v>58</v>
      </c>
      <c r="E31" s="17" t="s">
        <v>59</v>
      </c>
      <c r="F31" s="16">
        <v>2</v>
      </c>
      <c r="G31" s="16" t="s">
        <v>23</v>
      </c>
      <c r="H31" s="17" t="s">
        <v>213</v>
      </c>
      <c r="I31" s="26">
        <v>10.5</v>
      </c>
      <c r="J31" s="26">
        <v>9.81</v>
      </c>
      <c r="K31" s="27"/>
    </row>
    <row r="32" spans="1:11" ht="24" customHeight="1">
      <c r="A32" s="14"/>
      <c r="B32" s="15" t="s">
        <v>165</v>
      </c>
      <c r="C32" s="16">
        <v>2</v>
      </c>
      <c r="D32" s="16" t="s">
        <v>60</v>
      </c>
      <c r="E32" s="17" t="s">
        <v>61</v>
      </c>
      <c r="F32" s="16">
        <v>1</v>
      </c>
      <c r="G32" s="16" t="s">
        <v>23</v>
      </c>
      <c r="H32" s="17" t="s">
        <v>214</v>
      </c>
      <c r="I32" s="26">
        <v>15.37</v>
      </c>
      <c r="J32" s="26">
        <v>0.43</v>
      </c>
      <c r="K32" s="27"/>
    </row>
    <row r="33" spans="1:11" ht="24" customHeight="1">
      <c r="A33" s="14"/>
      <c r="B33" s="15" t="s">
        <v>165</v>
      </c>
      <c r="C33" s="16">
        <v>3</v>
      </c>
      <c r="D33" s="16" t="s">
        <v>62</v>
      </c>
      <c r="E33" s="17" t="s">
        <v>63</v>
      </c>
      <c r="F33" s="16">
        <v>1</v>
      </c>
      <c r="G33" s="16" t="s">
        <v>23</v>
      </c>
      <c r="H33" s="17" t="s">
        <v>214</v>
      </c>
      <c r="I33" s="26">
        <v>0</v>
      </c>
      <c r="J33" s="26">
        <v>0.47</v>
      </c>
      <c r="K33" s="27"/>
    </row>
    <row r="34" spans="1:11" ht="24" customHeight="1">
      <c r="A34" s="14"/>
      <c r="B34" s="15" t="s">
        <v>165</v>
      </c>
      <c r="C34" s="16">
        <v>4</v>
      </c>
      <c r="D34" s="16" t="s">
        <v>64</v>
      </c>
      <c r="E34" s="17" t="s">
        <v>65</v>
      </c>
      <c r="F34" s="16">
        <v>1</v>
      </c>
      <c r="G34" s="16" t="s">
        <v>23</v>
      </c>
      <c r="H34" s="17" t="s">
        <v>214</v>
      </c>
      <c r="I34" s="26">
        <v>0</v>
      </c>
      <c r="J34" s="26">
        <v>0.51</v>
      </c>
      <c r="K34" s="27"/>
    </row>
    <row r="35" spans="1:11" ht="24" customHeight="1">
      <c r="A35" s="14"/>
      <c r="B35" s="15" t="s">
        <v>165</v>
      </c>
      <c r="C35" s="16">
        <v>5</v>
      </c>
      <c r="D35" s="16" t="s">
        <v>66</v>
      </c>
      <c r="E35" s="17" t="s">
        <v>67</v>
      </c>
      <c r="F35" s="16">
        <v>1</v>
      </c>
      <c r="G35" s="16" t="s">
        <v>23</v>
      </c>
      <c r="H35" s="17" t="s">
        <v>214</v>
      </c>
      <c r="I35" s="26">
        <v>0</v>
      </c>
      <c r="J35" s="26">
        <v>0.49</v>
      </c>
      <c r="K35" s="27"/>
    </row>
    <row r="36" spans="1:11" ht="24" customHeight="1">
      <c r="A36" s="14"/>
      <c r="B36" s="15" t="s">
        <v>165</v>
      </c>
      <c r="C36" s="16">
        <v>6</v>
      </c>
      <c r="D36" s="16" t="s">
        <v>68</v>
      </c>
      <c r="E36" s="17" t="s">
        <v>69</v>
      </c>
      <c r="F36" s="16">
        <v>2</v>
      </c>
      <c r="G36" s="16" t="s">
        <v>23</v>
      </c>
      <c r="H36" s="17" t="s">
        <v>214</v>
      </c>
      <c r="I36" s="26">
        <v>0</v>
      </c>
      <c r="J36" s="26">
        <v>0.7</v>
      </c>
      <c r="K36" s="27"/>
    </row>
    <row r="37" spans="1:11" ht="24" customHeight="1">
      <c r="A37" s="14"/>
      <c r="B37" s="15" t="s">
        <v>165</v>
      </c>
      <c r="C37" s="16">
        <v>7</v>
      </c>
      <c r="D37" s="16" t="s">
        <v>70</v>
      </c>
      <c r="E37" s="17" t="s">
        <v>71</v>
      </c>
      <c r="F37" s="16">
        <v>2</v>
      </c>
      <c r="G37" s="16" t="s">
        <v>23</v>
      </c>
      <c r="H37" s="17" t="s">
        <v>214</v>
      </c>
      <c r="I37" s="26">
        <v>0</v>
      </c>
      <c r="J37" s="26">
        <v>0.7</v>
      </c>
      <c r="K37" s="27"/>
    </row>
    <row r="38" spans="1:11" ht="24" customHeight="1">
      <c r="A38" s="14"/>
      <c r="B38" s="15" t="s">
        <v>165</v>
      </c>
      <c r="C38" s="16">
        <v>8</v>
      </c>
      <c r="D38" s="16" t="s">
        <v>72</v>
      </c>
      <c r="E38" s="17" t="s">
        <v>73</v>
      </c>
      <c r="F38" s="16">
        <v>2</v>
      </c>
      <c r="G38" s="16" t="s">
        <v>23</v>
      </c>
      <c r="H38" s="17" t="s">
        <v>214</v>
      </c>
      <c r="I38" s="26">
        <v>0</v>
      </c>
      <c r="J38" s="26">
        <v>1.41</v>
      </c>
      <c r="K38" s="27"/>
    </row>
    <row r="39" spans="1:11" ht="24" customHeight="1">
      <c r="A39" s="14"/>
      <c r="B39" s="15" t="s">
        <v>165</v>
      </c>
      <c r="C39" s="16">
        <v>9</v>
      </c>
      <c r="D39" s="16" t="s">
        <v>74</v>
      </c>
      <c r="E39" s="17" t="s">
        <v>75</v>
      </c>
      <c r="F39" s="16">
        <v>2</v>
      </c>
      <c r="G39" s="16" t="s">
        <v>23</v>
      </c>
      <c r="H39" s="17" t="s">
        <v>214</v>
      </c>
      <c r="I39" s="26">
        <v>0</v>
      </c>
      <c r="J39" s="26">
        <v>0.53</v>
      </c>
      <c r="K39" s="27"/>
    </row>
    <row r="40" spans="1:11" ht="24" customHeight="1">
      <c r="A40" s="14"/>
      <c r="B40" s="15" t="s">
        <v>165</v>
      </c>
      <c r="C40" s="16">
        <v>10</v>
      </c>
      <c r="D40" s="16" t="s">
        <v>76</v>
      </c>
      <c r="E40" s="17" t="s">
        <v>77</v>
      </c>
      <c r="F40" s="16">
        <v>1</v>
      </c>
      <c r="G40" s="16" t="s">
        <v>23</v>
      </c>
      <c r="H40" s="17" t="s">
        <v>214</v>
      </c>
      <c r="I40" s="26">
        <v>0</v>
      </c>
      <c r="J40" s="26">
        <v>0.47</v>
      </c>
      <c r="K40" s="27"/>
    </row>
    <row r="41" spans="1:11" ht="24" customHeight="1">
      <c r="A41" s="14"/>
      <c r="B41" s="15" t="s">
        <v>165</v>
      </c>
      <c r="C41" s="16">
        <v>11</v>
      </c>
      <c r="D41" s="16" t="s">
        <v>78</v>
      </c>
      <c r="E41" s="17" t="s">
        <v>79</v>
      </c>
      <c r="F41" s="16">
        <v>1</v>
      </c>
      <c r="G41" s="16" t="s">
        <v>23</v>
      </c>
      <c r="H41" s="17" t="s">
        <v>214</v>
      </c>
      <c r="I41" s="26">
        <v>0</v>
      </c>
      <c r="J41" s="26">
        <v>3.41</v>
      </c>
      <c r="K41" s="27"/>
    </row>
    <row r="42" spans="1:11" ht="24" customHeight="1">
      <c r="A42" s="14"/>
      <c r="B42" s="15" t="s">
        <v>165</v>
      </c>
      <c r="C42" s="16">
        <v>12</v>
      </c>
      <c r="D42" s="16" t="s">
        <v>80</v>
      </c>
      <c r="E42" s="17" t="s">
        <v>81</v>
      </c>
      <c r="F42" s="16">
        <v>1</v>
      </c>
      <c r="G42" s="16" t="s">
        <v>23</v>
      </c>
      <c r="H42" s="17" t="s">
        <v>214</v>
      </c>
      <c r="I42" s="26">
        <v>0</v>
      </c>
      <c r="J42" s="26">
        <v>0.28000000000000003</v>
      </c>
      <c r="K42" s="27"/>
    </row>
    <row r="43" spans="1:11" ht="24" customHeight="1">
      <c r="A43" s="14"/>
      <c r="B43" s="15" t="s">
        <v>165</v>
      </c>
      <c r="C43" s="16">
        <v>13</v>
      </c>
      <c r="D43" s="16" t="s">
        <v>82</v>
      </c>
      <c r="E43" s="17" t="s">
        <v>83</v>
      </c>
      <c r="F43" s="16">
        <v>1</v>
      </c>
      <c r="G43" s="16" t="s">
        <v>23</v>
      </c>
      <c r="H43" s="17" t="s">
        <v>214</v>
      </c>
      <c r="I43" s="26">
        <v>0</v>
      </c>
      <c r="J43" s="26">
        <v>0.51</v>
      </c>
      <c r="K43" s="27"/>
    </row>
    <row r="44" spans="1:11" ht="24" customHeight="1">
      <c r="A44" s="14"/>
      <c r="B44" s="15" t="s">
        <v>165</v>
      </c>
      <c r="C44" s="16">
        <v>14</v>
      </c>
      <c r="D44" s="16" t="s">
        <v>84</v>
      </c>
      <c r="E44" s="17" t="s">
        <v>85</v>
      </c>
      <c r="F44" s="16">
        <v>1</v>
      </c>
      <c r="G44" s="16" t="s">
        <v>23</v>
      </c>
      <c r="H44" s="17" t="s">
        <v>214</v>
      </c>
      <c r="I44" s="26">
        <v>0</v>
      </c>
      <c r="J44" s="26">
        <v>0.53</v>
      </c>
      <c r="K44" s="27"/>
    </row>
    <row r="45" spans="1:11" ht="24" customHeight="1">
      <c r="A45" s="14"/>
      <c r="B45" s="15" t="s">
        <v>165</v>
      </c>
      <c r="C45" s="16">
        <v>15</v>
      </c>
      <c r="D45" s="16" t="s">
        <v>86</v>
      </c>
      <c r="E45" s="17" t="s">
        <v>87</v>
      </c>
      <c r="F45" s="16">
        <v>2</v>
      </c>
      <c r="G45" s="16" t="s">
        <v>23</v>
      </c>
      <c r="H45" s="17" t="s">
        <v>214</v>
      </c>
      <c r="I45" s="26">
        <v>0</v>
      </c>
      <c r="J45" s="26">
        <v>0.43</v>
      </c>
      <c r="K45" s="27"/>
    </row>
    <row r="46" spans="1:11" ht="24" customHeight="1">
      <c r="A46" s="14"/>
      <c r="B46" s="15" t="s">
        <v>165</v>
      </c>
      <c r="C46" s="16">
        <v>16</v>
      </c>
      <c r="D46" s="16" t="s">
        <v>88</v>
      </c>
      <c r="E46" s="17" t="s">
        <v>89</v>
      </c>
      <c r="F46" s="16">
        <v>1</v>
      </c>
      <c r="G46" s="16" t="s">
        <v>23</v>
      </c>
      <c r="H46" s="17" t="s">
        <v>214</v>
      </c>
      <c r="I46" s="26">
        <v>0</v>
      </c>
      <c r="J46" s="26">
        <v>0.33</v>
      </c>
      <c r="K46" s="27"/>
    </row>
    <row r="47" spans="1:11" ht="24" customHeight="1">
      <c r="A47" s="14"/>
      <c r="B47" s="15" t="s">
        <v>165</v>
      </c>
      <c r="C47" s="16">
        <v>17</v>
      </c>
      <c r="D47" s="16" t="s">
        <v>90</v>
      </c>
      <c r="E47" s="17" t="s">
        <v>91</v>
      </c>
      <c r="F47" s="16">
        <v>1</v>
      </c>
      <c r="G47" s="16" t="s">
        <v>23</v>
      </c>
      <c r="H47" s="17" t="s">
        <v>214</v>
      </c>
      <c r="I47" s="26">
        <v>0</v>
      </c>
      <c r="J47" s="26">
        <v>0.62</v>
      </c>
      <c r="K47" s="27"/>
    </row>
    <row r="48" spans="1:11" ht="24" customHeight="1">
      <c r="A48" s="14"/>
      <c r="B48" s="15" t="s">
        <v>165</v>
      </c>
      <c r="C48" s="16">
        <v>18</v>
      </c>
      <c r="D48" s="16" t="s">
        <v>92</v>
      </c>
      <c r="E48" s="17" t="s">
        <v>93</v>
      </c>
      <c r="F48" s="16">
        <v>1</v>
      </c>
      <c r="G48" s="16" t="s">
        <v>23</v>
      </c>
      <c r="H48" s="17" t="s">
        <v>214</v>
      </c>
      <c r="I48" s="26">
        <v>0</v>
      </c>
      <c r="J48" s="26">
        <v>1.24</v>
      </c>
      <c r="K48" s="27"/>
    </row>
    <row r="49" spans="1:11" ht="24" customHeight="1">
      <c r="A49" s="14"/>
      <c r="B49" s="15" t="s">
        <v>165</v>
      </c>
      <c r="C49" s="16">
        <v>19</v>
      </c>
      <c r="D49" s="16" t="s">
        <v>94</v>
      </c>
      <c r="E49" s="17" t="s">
        <v>95</v>
      </c>
      <c r="F49" s="16">
        <v>1</v>
      </c>
      <c r="G49" s="16" t="s">
        <v>23</v>
      </c>
      <c r="H49" s="17" t="s">
        <v>214</v>
      </c>
      <c r="I49" s="26">
        <v>0</v>
      </c>
      <c r="J49" s="26">
        <v>1.31</v>
      </c>
      <c r="K49" s="27"/>
    </row>
    <row r="50" spans="1:11" ht="24" customHeight="1">
      <c r="A50" s="14"/>
      <c r="B50" s="15" t="s">
        <v>165</v>
      </c>
      <c r="C50" s="16">
        <v>20</v>
      </c>
      <c r="D50" s="16" t="s">
        <v>96</v>
      </c>
      <c r="E50" s="17" t="s">
        <v>97</v>
      </c>
      <c r="F50" s="16">
        <v>3</v>
      </c>
      <c r="G50" s="16" t="s">
        <v>23</v>
      </c>
      <c r="H50" s="17" t="s">
        <v>215</v>
      </c>
      <c r="I50" s="26">
        <v>19</v>
      </c>
      <c r="J50" s="26">
        <v>0.62</v>
      </c>
      <c r="K50" s="27"/>
    </row>
    <row r="51" spans="1:11" ht="24" customHeight="1">
      <c r="A51" s="14"/>
      <c r="B51" s="15" t="s">
        <v>165</v>
      </c>
      <c r="C51" s="16">
        <v>21</v>
      </c>
      <c r="D51" s="16" t="s">
        <v>98</v>
      </c>
      <c r="E51" s="17" t="s">
        <v>63</v>
      </c>
      <c r="F51" s="16">
        <v>1</v>
      </c>
      <c r="G51" s="16" t="s">
        <v>23</v>
      </c>
      <c r="H51" s="17" t="s">
        <v>215</v>
      </c>
      <c r="I51" s="26">
        <v>0</v>
      </c>
      <c r="J51" s="26">
        <v>0.34</v>
      </c>
      <c r="K51" s="27"/>
    </row>
    <row r="52" spans="1:11" ht="24" customHeight="1">
      <c r="A52" s="14"/>
      <c r="B52" s="15" t="s">
        <v>165</v>
      </c>
      <c r="C52" s="16">
        <v>22</v>
      </c>
      <c r="D52" s="16" t="s">
        <v>99</v>
      </c>
      <c r="E52" s="17" t="s">
        <v>100</v>
      </c>
      <c r="F52" s="16">
        <v>1</v>
      </c>
      <c r="G52" s="16" t="s">
        <v>23</v>
      </c>
      <c r="H52" s="17" t="s">
        <v>215</v>
      </c>
      <c r="I52" s="26">
        <v>0</v>
      </c>
      <c r="J52" s="26">
        <v>0.31</v>
      </c>
      <c r="K52" s="27"/>
    </row>
    <row r="53" spans="1:11" ht="24" customHeight="1">
      <c r="A53" s="14"/>
      <c r="B53" s="15" t="s">
        <v>165</v>
      </c>
      <c r="C53" s="16">
        <v>23</v>
      </c>
      <c r="D53" s="16" t="s">
        <v>101</v>
      </c>
      <c r="E53" s="17" t="s">
        <v>102</v>
      </c>
      <c r="F53" s="16">
        <v>1</v>
      </c>
      <c r="G53" s="16" t="s">
        <v>23</v>
      </c>
      <c r="H53" s="17" t="s">
        <v>215</v>
      </c>
      <c r="I53" s="26">
        <v>0</v>
      </c>
      <c r="J53" s="26">
        <v>0.28999999999999998</v>
      </c>
      <c r="K53" s="27"/>
    </row>
    <row r="54" spans="1:11" ht="24" customHeight="1">
      <c r="A54" s="14"/>
      <c r="B54" s="15" t="s">
        <v>165</v>
      </c>
      <c r="C54" s="16">
        <v>24</v>
      </c>
      <c r="D54" s="16" t="s">
        <v>103</v>
      </c>
      <c r="E54" s="17" t="s">
        <v>79</v>
      </c>
      <c r="F54" s="16">
        <v>1</v>
      </c>
      <c r="G54" s="16" t="s">
        <v>23</v>
      </c>
      <c r="H54" s="17" t="s">
        <v>215</v>
      </c>
      <c r="I54" s="26">
        <v>0</v>
      </c>
      <c r="J54" s="26">
        <v>3.35</v>
      </c>
      <c r="K54" s="27"/>
    </row>
    <row r="55" spans="1:11" ht="24" customHeight="1">
      <c r="A55" s="14"/>
      <c r="B55" s="15" t="s">
        <v>165</v>
      </c>
      <c r="C55" s="16">
        <v>25</v>
      </c>
      <c r="D55" s="16" t="s">
        <v>104</v>
      </c>
      <c r="E55" s="17" t="s">
        <v>85</v>
      </c>
      <c r="F55" s="16">
        <v>1</v>
      </c>
      <c r="G55" s="16" t="s">
        <v>23</v>
      </c>
      <c r="H55" s="17" t="s">
        <v>215</v>
      </c>
      <c r="I55" s="26">
        <v>0</v>
      </c>
      <c r="J55" s="26">
        <v>0.31</v>
      </c>
      <c r="K55" s="27"/>
    </row>
    <row r="56" spans="1:11" ht="24" customHeight="1">
      <c r="A56" s="14"/>
      <c r="B56" s="15" t="s">
        <v>165</v>
      </c>
      <c r="C56" s="16">
        <v>26</v>
      </c>
      <c r="D56" s="16" t="s">
        <v>105</v>
      </c>
      <c r="E56" s="17" t="s">
        <v>106</v>
      </c>
      <c r="F56" s="16">
        <v>2</v>
      </c>
      <c r="G56" s="16" t="s">
        <v>23</v>
      </c>
      <c r="H56" s="17" t="s">
        <v>215</v>
      </c>
      <c r="I56" s="26">
        <v>0</v>
      </c>
      <c r="J56" s="26">
        <v>0.68</v>
      </c>
      <c r="K56" s="27"/>
    </row>
    <row r="57" spans="1:11" ht="24" customHeight="1">
      <c r="A57" s="14"/>
      <c r="B57" s="15" t="s">
        <v>165</v>
      </c>
      <c r="C57" s="16">
        <v>27</v>
      </c>
      <c r="D57" s="16" t="s">
        <v>107</v>
      </c>
      <c r="E57" s="17" t="s">
        <v>108</v>
      </c>
      <c r="F57" s="16">
        <v>1</v>
      </c>
      <c r="G57" s="16" t="s">
        <v>23</v>
      </c>
      <c r="H57" s="17" t="s">
        <v>215</v>
      </c>
      <c r="I57" s="26">
        <v>0</v>
      </c>
      <c r="J57" s="26">
        <v>0.34</v>
      </c>
      <c r="K57" s="27"/>
    </row>
    <row r="58" spans="1:11" ht="24" customHeight="1">
      <c r="A58" s="14"/>
      <c r="B58" s="15" t="s">
        <v>165</v>
      </c>
      <c r="C58" s="16">
        <v>28</v>
      </c>
      <c r="D58" s="16" t="s">
        <v>109</v>
      </c>
      <c r="E58" s="17" t="s">
        <v>83</v>
      </c>
      <c r="F58" s="16">
        <v>1</v>
      </c>
      <c r="G58" s="16" t="s">
        <v>23</v>
      </c>
      <c r="H58" s="17" t="s">
        <v>215</v>
      </c>
      <c r="I58" s="26">
        <v>0</v>
      </c>
      <c r="J58" s="26">
        <v>0.26</v>
      </c>
      <c r="K58" s="27"/>
    </row>
    <row r="59" spans="1:11" ht="24" customHeight="1">
      <c r="A59" s="14"/>
      <c r="B59" s="15" t="s">
        <v>165</v>
      </c>
      <c r="C59" s="16">
        <v>29</v>
      </c>
      <c r="D59" s="16" t="s">
        <v>110</v>
      </c>
      <c r="E59" s="17" t="s">
        <v>111</v>
      </c>
      <c r="F59" s="16">
        <v>3</v>
      </c>
      <c r="G59" s="16" t="s">
        <v>23</v>
      </c>
      <c r="H59" s="17" t="s">
        <v>215</v>
      </c>
      <c r="I59" s="26">
        <v>0</v>
      </c>
      <c r="J59" s="26">
        <v>1.27</v>
      </c>
      <c r="K59" s="27"/>
    </row>
    <row r="60" spans="1:11" ht="24" customHeight="1">
      <c r="A60" s="14"/>
      <c r="B60" s="15" t="s">
        <v>165</v>
      </c>
      <c r="C60" s="16">
        <v>30</v>
      </c>
      <c r="D60" s="16" t="s">
        <v>112</v>
      </c>
      <c r="E60" s="17" t="s">
        <v>113</v>
      </c>
      <c r="F60" s="16">
        <v>1</v>
      </c>
      <c r="G60" s="16" t="s">
        <v>23</v>
      </c>
      <c r="H60" s="17" t="s">
        <v>215</v>
      </c>
      <c r="I60" s="26">
        <v>0</v>
      </c>
      <c r="J60" s="26">
        <v>0.28999999999999998</v>
      </c>
      <c r="K60" s="27"/>
    </row>
    <row r="61" spans="1:11" ht="24" customHeight="1">
      <c r="A61" s="14"/>
      <c r="B61" s="15" t="s">
        <v>165</v>
      </c>
      <c r="C61" s="16">
        <v>31</v>
      </c>
      <c r="D61" s="16" t="s">
        <v>114</v>
      </c>
      <c r="E61" s="17" t="s">
        <v>59</v>
      </c>
      <c r="F61" s="16">
        <v>2</v>
      </c>
      <c r="G61" s="16" t="s">
        <v>23</v>
      </c>
      <c r="H61" s="17" t="s">
        <v>215</v>
      </c>
      <c r="I61" s="26">
        <v>0</v>
      </c>
      <c r="J61" s="26">
        <v>2.64</v>
      </c>
      <c r="K61" s="27"/>
    </row>
    <row r="62" spans="1:11" ht="24" customHeight="1">
      <c r="A62" s="14"/>
      <c r="B62" s="15" t="s">
        <v>165</v>
      </c>
      <c r="C62" s="16">
        <v>32</v>
      </c>
      <c r="D62" s="16" t="s">
        <v>115</v>
      </c>
      <c r="E62" s="17" t="s">
        <v>85</v>
      </c>
      <c r="F62" s="16">
        <v>1</v>
      </c>
      <c r="G62" s="16" t="s">
        <v>23</v>
      </c>
      <c r="H62" s="17" t="s">
        <v>215</v>
      </c>
      <c r="I62" s="26">
        <v>0</v>
      </c>
      <c r="J62" s="26">
        <v>0.25</v>
      </c>
      <c r="K62" s="27"/>
    </row>
    <row r="63" spans="1:11" ht="24" customHeight="1">
      <c r="A63" s="14"/>
      <c r="B63" s="15" t="s">
        <v>165</v>
      </c>
      <c r="C63" s="16">
        <v>33</v>
      </c>
      <c r="D63" s="16" t="s">
        <v>116</v>
      </c>
      <c r="E63" s="17" t="s">
        <v>117</v>
      </c>
      <c r="F63" s="16">
        <v>1</v>
      </c>
      <c r="G63" s="16" t="s">
        <v>23</v>
      </c>
      <c r="H63" s="17" t="s">
        <v>215</v>
      </c>
      <c r="I63" s="26">
        <v>0</v>
      </c>
      <c r="J63" s="26">
        <v>0.26</v>
      </c>
      <c r="K63" s="27"/>
    </row>
    <row r="64" spans="1:11" ht="24" customHeight="1">
      <c r="A64" s="14"/>
      <c r="B64" s="15" t="s">
        <v>165</v>
      </c>
      <c r="C64" s="16">
        <v>34</v>
      </c>
      <c r="D64" s="16" t="s">
        <v>118</v>
      </c>
      <c r="E64" s="17" t="s">
        <v>119</v>
      </c>
      <c r="F64" s="16">
        <v>1</v>
      </c>
      <c r="G64" s="16" t="s">
        <v>23</v>
      </c>
      <c r="H64" s="17" t="s">
        <v>215</v>
      </c>
      <c r="I64" s="26">
        <v>0</v>
      </c>
      <c r="J64" s="26">
        <v>0.36</v>
      </c>
      <c r="K64" s="27"/>
    </row>
    <row r="65" spans="1:11" ht="24" customHeight="1">
      <c r="A65" s="14"/>
      <c r="B65" s="15" t="s">
        <v>165</v>
      </c>
      <c r="C65" s="16">
        <v>35</v>
      </c>
      <c r="D65" s="16" t="s">
        <v>120</v>
      </c>
      <c r="E65" s="17" t="s">
        <v>121</v>
      </c>
      <c r="F65" s="16">
        <v>1</v>
      </c>
      <c r="G65" s="16" t="s">
        <v>23</v>
      </c>
      <c r="H65" s="17" t="s">
        <v>215</v>
      </c>
      <c r="I65" s="26">
        <v>0</v>
      </c>
      <c r="J65" s="26">
        <v>1.84</v>
      </c>
      <c r="K65" s="27"/>
    </row>
    <row r="66" spans="1:11" ht="24" customHeight="1">
      <c r="A66" s="14"/>
      <c r="B66" s="15" t="s">
        <v>165</v>
      </c>
      <c r="C66" s="16">
        <v>36</v>
      </c>
      <c r="D66" s="16" t="s">
        <v>122</v>
      </c>
      <c r="E66" s="17" t="s">
        <v>123</v>
      </c>
      <c r="F66" s="16">
        <v>3</v>
      </c>
      <c r="G66" s="16" t="s">
        <v>23</v>
      </c>
      <c r="H66" s="17" t="s">
        <v>215</v>
      </c>
      <c r="I66" s="26">
        <v>0</v>
      </c>
      <c r="J66" s="26">
        <v>0.92</v>
      </c>
      <c r="K66" s="27"/>
    </row>
    <row r="67" spans="1:11" ht="24" customHeight="1">
      <c r="A67" s="14"/>
      <c r="B67" s="15" t="s">
        <v>165</v>
      </c>
      <c r="C67" s="16">
        <v>37</v>
      </c>
      <c r="D67" s="16" t="s">
        <v>124</v>
      </c>
      <c r="E67" s="17" t="s">
        <v>125</v>
      </c>
      <c r="F67" s="16">
        <v>3</v>
      </c>
      <c r="G67" s="16" t="s">
        <v>23</v>
      </c>
      <c r="H67" s="17" t="s">
        <v>215</v>
      </c>
      <c r="I67" s="26">
        <v>0</v>
      </c>
      <c r="J67" s="26">
        <v>3.47</v>
      </c>
      <c r="K67" s="27"/>
    </row>
    <row r="68" spans="1:11" ht="24" customHeight="1">
      <c r="A68" s="14"/>
      <c r="B68" s="15" t="s">
        <v>165</v>
      </c>
      <c r="C68" s="16">
        <v>38</v>
      </c>
      <c r="D68" s="16" t="s">
        <v>126</v>
      </c>
      <c r="E68" s="17" t="s">
        <v>127</v>
      </c>
      <c r="F68" s="16">
        <v>1</v>
      </c>
      <c r="G68" s="16" t="s">
        <v>23</v>
      </c>
      <c r="H68" s="17" t="s">
        <v>216</v>
      </c>
      <c r="I68" s="26">
        <v>1.5</v>
      </c>
      <c r="J68" s="26">
        <v>0.6</v>
      </c>
      <c r="K68" s="27"/>
    </row>
    <row r="69" spans="1:11" s="2" customFormat="1" ht="22.05" customHeight="1">
      <c r="A69" s="275" t="s">
        <v>199</v>
      </c>
      <c r="B69" s="276"/>
      <c r="C69" s="276"/>
      <c r="D69" s="276"/>
      <c r="E69" s="276"/>
      <c r="F69" s="28">
        <f>SUM(F16:F68)</f>
        <v>193</v>
      </c>
      <c r="G69" s="29"/>
      <c r="H69" s="29"/>
      <c r="I69" s="38">
        <f>SUM(I16:I68)</f>
        <v>163.16999999999999</v>
      </c>
      <c r="J69" s="38">
        <f>SUM(J16:J68)</f>
        <v>146.45999999999998</v>
      </c>
      <c r="K69" s="39"/>
    </row>
    <row r="70" spans="1:11" ht="18" customHeight="1">
      <c r="A70" s="30" t="s">
        <v>217</v>
      </c>
      <c r="G70" s="31"/>
      <c r="H70" s="32"/>
      <c r="I70" s="40"/>
      <c r="J70" s="40"/>
      <c r="K70" s="41"/>
    </row>
    <row r="71" spans="1:11" ht="18" customHeight="1">
      <c r="A71" s="33"/>
      <c r="F71" s="277" t="s">
        <v>9</v>
      </c>
      <c r="G71" s="277"/>
      <c r="H71" s="277"/>
      <c r="I71" s="278"/>
      <c r="J71" s="278"/>
      <c r="K71" s="279"/>
    </row>
    <row r="72" spans="1:11">
      <c r="A72" s="33"/>
      <c r="K72" s="42"/>
    </row>
    <row r="73" spans="1:11">
      <c r="A73" s="33"/>
      <c r="K73" s="42"/>
    </row>
    <row r="74" spans="1:11">
      <c r="A74" s="34"/>
      <c r="B74" s="35"/>
      <c r="C74" s="35"/>
      <c r="D74" s="35"/>
      <c r="E74" s="35"/>
      <c r="F74" s="36"/>
      <c r="G74" s="36"/>
      <c r="H74" s="37"/>
      <c r="I74" s="43"/>
      <c r="J74" s="43"/>
      <c r="K74" s="44"/>
    </row>
  </sheetData>
  <autoFilter ref="A1:K71" xr:uid="{00000000-0009-0000-0000-000006000000}"/>
  <mergeCells count="22">
    <mergeCell ref="B14:E14"/>
    <mergeCell ref="A69:E69"/>
    <mergeCell ref="F71:K71"/>
    <mergeCell ref="A14:A15"/>
    <mergeCell ref="F14:F15"/>
    <mergeCell ref="G14:G15"/>
    <mergeCell ref="H14:H15"/>
    <mergeCell ref="I14:I15"/>
    <mergeCell ref="J14:J15"/>
    <mergeCell ref="K14:K15"/>
    <mergeCell ref="B8:G8"/>
    <mergeCell ref="B11:G11"/>
    <mergeCell ref="B12:G12"/>
    <mergeCell ref="A13:F13"/>
    <mergeCell ref="G13:K13"/>
    <mergeCell ref="B9:G10"/>
    <mergeCell ref="A1:K1"/>
    <mergeCell ref="A2:G2"/>
    <mergeCell ref="B3:G3"/>
    <mergeCell ref="B6:G6"/>
    <mergeCell ref="A7:G7"/>
    <mergeCell ref="B4:G5"/>
  </mergeCells>
  <pageMargins left="0.25138888888888899" right="0.25138888888888899" top="0.16111111111111101" bottom="0.16111111111111101" header="0.29861111111111099" footer="0.29861111111111099"/>
  <pageSetup paperSize="9" scale="90" orientation="landscape"/>
  <headerFooter>
    <oddFooter>&amp;C&amp;P/&amp;N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250611-1117</vt:lpstr>
      <vt:lpstr>250627-1115</vt:lpstr>
      <vt:lpstr>250637-1117</vt:lpstr>
      <vt:lpstr>250648-1117</vt:lpstr>
      <vt:lpstr>250663-1115</vt:lpstr>
      <vt:lpstr>Invoice </vt:lpstr>
      <vt:lpstr>Packing list </vt:lpstr>
      <vt:lpstr>'Invoice '!Print_Area</vt:lpstr>
      <vt:lpstr>'Packing list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Lê Thị Liên</cp:lastModifiedBy>
  <cp:lastPrinted>2025-07-30T03:49:28Z</cp:lastPrinted>
  <dcterms:created xsi:type="dcterms:W3CDTF">2019-11-05T02:26:00Z</dcterms:created>
  <dcterms:modified xsi:type="dcterms:W3CDTF">2025-07-30T04:16:36Z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D3A1F42C647040139774E5E1F6F118B3</vt:lpwstr>
  </property>
</Properties>
</file>