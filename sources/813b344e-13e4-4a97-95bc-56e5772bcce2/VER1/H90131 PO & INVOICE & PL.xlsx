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Y:\current data\1 DUNG + MAI\2- IM-EX-2024\THÁNG 11\3.IMPORT OVERSEA\6.SF1149242400812\"/>
    </mc:Choice>
  </mc:AlternateContent>
  <xr:revisionPtr revIDLastSave="0" documentId="8_{DB2693C6-9BF3-4E70-A9AE-C519BE71593A}" xr6:coauthVersionLast="47" xr6:coauthVersionMax="47" xr10:uidLastSave="{00000000-0000-0000-0000-000000000000}"/>
  <bookViews>
    <workbookView xWindow="-48" yWindow="-48" windowWidth="23136" windowHeight="12456" activeTab="1" xr2:uid="{00000000-000D-0000-FFFF-FFFF00000000}"/>
  </bookViews>
  <sheets>
    <sheet name="H90131" sheetId="1" r:id="rId1"/>
    <sheet name="Invoice " sheetId="2" r:id="rId2"/>
    <sheet name="Packing list " sheetId="3" r:id="rId3"/>
  </sheets>
  <definedNames>
    <definedName name="_xlnm._FilterDatabase" localSheetId="1" hidden="1">'Invoice '!$A$13:$L$16</definedName>
    <definedName name="_xlnm._FilterDatabase" localSheetId="2" hidden="1">'Packing list '!$A$14:$L$21</definedName>
    <definedName name="_xlnm.Print_Area" localSheetId="1">'Invoice '!$A$1:$L$23</definedName>
    <definedName name="_xlnm.Print_Area" localSheetId="2">'Packing list '!$A$1:$L$25</definedName>
  </definedNames>
  <calcPr calcId="191029"/>
</workbook>
</file>

<file path=xl/calcChain.xml><?xml version="1.0" encoding="utf-8"?>
<calcChain xmlns="http://schemas.openxmlformats.org/spreadsheetml/2006/main">
  <c r="K16" i="3" l="1"/>
  <c r="J16" i="3"/>
  <c r="F16" i="3"/>
  <c r="B11" i="3"/>
  <c r="I10" i="3"/>
  <c r="B10" i="3"/>
  <c r="I9" i="3"/>
  <c r="I8" i="3"/>
  <c r="B8" i="3"/>
  <c r="I7" i="3"/>
  <c r="B7" i="3"/>
  <c r="I6" i="3"/>
  <c r="I5" i="3"/>
  <c r="B5" i="3"/>
  <c r="I4" i="3"/>
  <c r="B4" i="3"/>
  <c r="I3" i="3"/>
  <c r="B3" i="3"/>
  <c r="I2" i="3"/>
  <c r="I16" i="2"/>
  <c r="L15" i="2"/>
  <c r="L16" i="2" s="1"/>
  <c r="E14" i="1"/>
  <c r="I13" i="1"/>
  <c r="I1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J9" authorId="0" shapeId="0" xr:uid="{00000000-0006-0000-0100-000001000000}">
      <text>
        <r>
          <rPr>
            <sz val="9"/>
            <rFont val="Tahoma"/>
            <family val="2"/>
          </rPr>
          <t xml:space="preserve">fill in if any
</t>
        </r>
      </text>
    </comment>
  </commentList>
</comments>
</file>

<file path=xl/sharedStrings.xml><?xml version="1.0" encoding="utf-8"?>
<sst xmlns="http://schemas.openxmlformats.org/spreadsheetml/2006/main" count="104" uniqueCount="77">
  <si>
    <t>PURCHASE ORDER</t>
  </si>
  <si>
    <t>PO    NO:</t>
  </si>
  <si>
    <t>H90131</t>
  </si>
  <si>
    <t>PO  DATE:</t>
  </si>
  <si>
    <t>BUYER:  MOONPO DEVELOPMENT(VIETNAM) LIMITED</t>
  </si>
  <si>
    <t>ADDRESS: LOT CN-01, DONG VAN IV INDUSTRIAL ZONE, DAI CUONG COMMUNE, KIM BANG DISTRICT, HA NAM PROVINCE, VIETNAM</t>
  </si>
  <si>
    <t>TAX NUMBER: 0700834811</t>
  </si>
  <si>
    <t>ATTN;Lina</t>
  </si>
  <si>
    <t>SELLER: MOONPO DEVELOPMENT LIMITED</t>
  </si>
  <si>
    <t>ADDRESS: FLAT 4-7, 1/F, WAH YIU INDUSTRIAL CENTRE, 30-32 AU PUI WAN STREET, FO TAN, SHATIN, N.T, HONGKONG</t>
  </si>
  <si>
    <t>I. DESCRIPTIONS OF GOODS:Refer list</t>
  </si>
  <si>
    <t>NO</t>
  </si>
  <si>
    <t>DESCRIPTION OF GOODS</t>
  </si>
  <si>
    <t>QUANTITY</t>
  </si>
  <si>
    <t>UNIT</t>
  </si>
  <si>
    <t>ORIGIN</t>
  </si>
  <si>
    <t>UNIT PRICE
(USD)</t>
  </si>
  <si>
    <t>AMOUNT
(USD)</t>
  </si>
  <si>
    <t>Part no</t>
  </si>
  <si>
    <t>Line No.</t>
  </si>
  <si>
    <t>DESCR</t>
  </si>
  <si>
    <t>WSID-10034</t>
  </si>
  <si>
    <t>FOOT CLIPPER STAND</t>
  </si>
  <si>
    <t>PCS</t>
  </si>
  <si>
    <t>CHINA</t>
  </si>
  <si>
    <t>TOTAL:</t>
  </si>
  <si>
    <t>II. CONDITIONS AND TRADE TERMS:</t>
  </si>
  <si>
    <t>1. Cargo is new 100%.</t>
  </si>
  <si>
    <t>2. Delivery terms: CPT NOIBAI</t>
  </si>
  <si>
    <t>3. Delivery time: in NOVC,2024</t>
  </si>
  <si>
    <t>4. Shipping method: BY AIR</t>
  </si>
  <si>
    <t>5. Packing standards: Following exporting standards</t>
  </si>
  <si>
    <t>6. Payment terms: No Payment</t>
  </si>
  <si>
    <t>7. PO has been acknowledged and signed by 02 parties and sent via email.</t>
  </si>
  <si>
    <t>ACCEPTED BY SELLER</t>
  </si>
  <si>
    <t>BUYER</t>
  </si>
  <si>
    <t>COMMERCIAL INVOICE</t>
  </si>
  <si>
    <t>SELLER:</t>
  </si>
  <si>
    <t>INVOICE NO:MDL240034</t>
  </si>
  <si>
    <t>NAME: MOONPO DEVELOPMENT LIMITED</t>
  </si>
  <si>
    <t>INVOICE DATE:2024-10-28</t>
  </si>
  <si>
    <t>PO NO:below list</t>
  </si>
  <si>
    <t>TELL: +852-26888777</t>
  </si>
  <si>
    <t>PAYMENT TERMS: NO PAYMENT</t>
  </si>
  <si>
    <t>BUYER:</t>
  </si>
  <si>
    <t>DELIVERY TERMS: CPT NOIBAI</t>
  </si>
  <si>
    <t>NAME: MOONPO DEVELOPMENT(VIETNAM) LIMITED</t>
  </si>
  <si>
    <t>PORT OF LOADING: SHENZHEN</t>
  </si>
  <si>
    <r>
      <rPr>
        <b/>
        <sz val="11"/>
        <color theme="1"/>
        <rFont val="Calibri"/>
        <family val="2"/>
      </rPr>
      <t>ADDRESS:</t>
    </r>
    <r>
      <rPr>
        <sz val="11"/>
        <color indexed="8"/>
        <rFont val="Calibri"/>
        <family val="2"/>
      </rPr>
      <t xml:space="preserve"> LOT CN-01, DONG VAN IV INDUSTRIAL ZONE, DAI CUONG COMMUNE, KIM BANG DISTRICT, HA NAM PROVINCE, VIETNAM</t>
    </r>
  </si>
  <si>
    <t>PORT OF DISCHARGE: NOIBAI</t>
  </si>
  <si>
    <t>PORT OF TRANSIT:</t>
  </si>
  <si>
    <r>
      <rPr>
        <b/>
        <sz val="11"/>
        <color theme="1"/>
        <rFont val="Calibri"/>
        <family val="2"/>
      </rPr>
      <t>TAX NUMBER</t>
    </r>
    <r>
      <rPr>
        <sz val="11"/>
        <color indexed="8"/>
        <rFont val="Calibri"/>
        <family val="2"/>
      </rPr>
      <t>: 0700834811</t>
    </r>
  </si>
  <si>
    <t>ETD POL:2024-10-28</t>
  </si>
  <si>
    <t>TELL:+84 904 923 783, Email: vttdung@moonpo.com</t>
  </si>
  <si>
    <t>ETA POD:2024-11-01</t>
  </si>
  <si>
    <t>VESSEL/VOYAGE: BY AIR</t>
  </si>
  <si>
    <t>DESCRIPTIONS OF GOODS</t>
  </si>
  <si>
    <t>HS CODE</t>
  </si>
  <si>
    <t>ORIGIN OF GOODS</t>
  </si>
  <si>
    <t>PO NO.</t>
  </si>
  <si>
    <t>PO Line No.</t>
  </si>
  <si>
    <t>PART NO</t>
  </si>
  <si>
    <t>CN NAME</t>
  </si>
  <si>
    <t>剪角器座</t>
  </si>
  <si>
    <t>MOONPO DEVELOPMENT LIMITED</t>
  </si>
  <si>
    <t>PACKING LIST</t>
  </si>
  <si>
    <t>QUANTITY OF GOODS</t>
  </si>
  <si>
    <t>PALLET</t>
  </si>
  <si>
    <t>NO OF 
CARTON</t>
  </si>
  <si>
    <t>N/W
(KG)</t>
  </si>
  <si>
    <t>G/W
(KG)</t>
  </si>
  <si>
    <t>M3</t>
  </si>
  <si>
    <t>PO Line
 No.</t>
  </si>
  <si>
    <t>PART NO.</t>
  </si>
  <si>
    <t>/</t>
  </si>
  <si>
    <t>NO OF PACKAGE: 1 PACKAGE ONLY</t>
  </si>
  <si>
    <t>MOONPO TRADING(SHENZHEN)CO.,LTD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</si>
</sst>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_ "/>
    <numFmt numFmtId="169" formatCode="0.0000_ "/>
    <numFmt numFmtId="170" formatCode="General* "/>
    <numFmt numFmtId="171" formatCode="0_ "/>
  </numFmts>
  <fonts count="44">
    <font>
      <sz val="11"/>
      <color theme="1"/>
      <name val="Calibri"/>
      <charset val="134"/>
      <scheme val="minor"/>
    </font>
    <font>
      <sz val="10"/>
      <color theme="1"/>
      <name val="Arial"/>
      <family val="2"/>
    </font>
    <font>
      <sz val="11"/>
      <name val="Calibri"/>
      <charset val="134"/>
      <scheme val="minor"/>
    </font>
    <font>
      <sz val="10"/>
      <name val="Arial"/>
      <family val="2"/>
    </font>
    <font>
      <sz val="10"/>
      <name val="Arial"/>
      <family val="2"/>
    </font>
    <font>
      <b/>
      <sz val="20"/>
      <name val="Calibri"/>
      <charset val="134"/>
      <scheme val="minor"/>
    </font>
    <font>
      <b/>
      <sz val="12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Arial"/>
      <family val="2"/>
    </font>
    <font>
      <b/>
      <sz val="10"/>
      <name val="宋体"/>
      <charset val="134"/>
    </font>
    <font>
      <b/>
      <sz val="11"/>
      <name val="Arial"/>
      <family val="2"/>
    </font>
    <font>
      <b/>
      <sz val="14"/>
      <name val="Calibri"/>
      <charset val="134"/>
      <scheme val="minor"/>
    </font>
    <font>
      <b/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11"/>
      <name val="宋体"/>
    </font>
    <font>
      <sz val="11"/>
      <name val="Arial"/>
      <family val="2"/>
    </font>
    <font>
      <b/>
      <sz val="2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name val="Calibri"/>
      <charset val="134"/>
      <scheme val="minor"/>
    </font>
    <font>
      <sz val="10"/>
      <color theme="1"/>
      <name val="宋体"/>
      <charset val="134"/>
    </font>
    <font>
      <sz val="11"/>
      <name val="宋体"/>
      <charset val="134"/>
    </font>
    <font>
      <b/>
      <sz val="11"/>
      <color theme="1"/>
      <name val="Arial"/>
      <family val="2"/>
    </font>
    <font>
      <b/>
      <sz val="14"/>
      <color theme="1"/>
      <name val="Calibri"/>
      <charset val="134"/>
      <scheme val="minor"/>
    </font>
    <font>
      <sz val="10"/>
      <name val="宋体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sz val="10"/>
      <color rgb="FFFF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1"/>
      <name val="宋体"/>
    </font>
    <font>
      <sz val="11"/>
      <color theme="1"/>
      <name val="宋体"/>
      <charset val="134"/>
    </font>
    <font>
      <sz val="14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sz val="11"/>
      <name val="ＭＳ Ｐゴシック"/>
      <charset val="128"/>
    </font>
    <font>
      <sz val="12"/>
      <name val="新細明體"/>
      <charset val="134"/>
    </font>
    <font>
      <u/>
      <sz val="11"/>
      <color theme="10"/>
      <name val="Calibri"/>
      <charset val="134"/>
      <scheme val="minor"/>
    </font>
    <font>
      <sz val="11"/>
      <color indexed="8"/>
      <name val="Calibri"/>
      <family val="2"/>
    </font>
    <font>
      <sz val="9"/>
      <name val="Tahoma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E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40" fillId="0" borderId="0" applyNumberFormat="0" applyFill="0" applyBorder="0" applyAlignment="0" applyProtection="0"/>
    <xf numFmtId="0" fontId="39" fillId="0" borderId="0">
      <alignment vertical="center"/>
    </xf>
    <xf numFmtId="0" fontId="43" fillId="0" borderId="0"/>
    <xf numFmtId="0" fontId="38" fillId="0" borderId="0"/>
  </cellStyleXfs>
  <cellXfs count="32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right"/>
    </xf>
    <xf numFmtId="0" fontId="4" fillId="0" borderId="0" xfId="0" applyFont="1"/>
    <xf numFmtId="0" fontId="2" fillId="0" borderId="4" xfId="0" applyFont="1" applyBorder="1" applyAlignment="1">
      <alignment horizontal="center"/>
    </xf>
    <xf numFmtId="0" fontId="7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6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2" fillId="0" borderId="11" xfId="0" applyFont="1" applyBorder="1"/>
    <xf numFmtId="0" fontId="7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3" applyFont="1" applyBorder="1" applyAlignment="1">
      <alignment horizontal="center" vertical="center" wrapText="1"/>
    </xf>
    <xf numFmtId="0" fontId="1" fillId="0" borderId="9" xfId="3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10" fillId="0" borderId="9" xfId="0" applyFont="1" applyBorder="1" applyAlignment="1">
      <alignment horizontal="right" vertical="center"/>
    </xf>
    <xf numFmtId="3" fontId="9" fillId="0" borderId="9" xfId="0" applyNumberFormat="1" applyFont="1" applyBorder="1" applyAlignment="1">
      <alignment horizontal="center" vertical="center"/>
    </xf>
    <xf numFmtId="3" fontId="9" fillId="0" borderId="9" xfId="0" applyNumberFormat="1" applyFont="1" applyBorder="1" applyAlignment="1">
      <alignment vertical="center"/>
    </xf>
    <xf numFmtId="0" fontId="11" fillId="0" borderId="5" xfId="0" applyFont="1" applyBorder="1"/>
    <xf numFmtId="0" fontId="12" fillId="0" borderId="0" xfId="0" applyFont="1" applyAlignment="1">
      <alignment horizontal="center" vertical="center" wrapText="1"/>
    </xf>
    <xf numFmtId="0" fontId="2" fillId="0" borderId="5" xfId="0" applyFont="1" applyBorder="1"/>
    <xf numFmtId="0" fontId="12" fillId="0" borderId="0" xfId="0" applyFont="1" applyAlignment="1">
      <alignment horizontal="right" vertical="center" wrapText="1"/>
    </xf>
    <xf numFmtId="0" fontId="2" fillId="0" borderId="19" xfId="0" applyFont="1" applyBorder="1"/>
    <xf numFmtId="0" fontId="2" fillId="0" borderId="20" xfId="0" applyFont="1" applyBorder="1"/>
    <xf numFmtId="0" fontId="2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right"/>
    </xf>
    <xf numFmtId="0" fontId="2" fillId="0" borderId="22" xfId="0" applyFont="1" applyBorder="1" applyAlignment="1">
      <alignment vertical="center"/>
    </xf>
    <xf numFmtId="166" fontId="7" fillId="0" borderId="4" xfId="0" applyNumberFormat="1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166" fontId="2" fillId="0" borderId="0" xfId="0" applyNumberFormat="1" applyFont="1" applyAlignment="1">
      <alignment vertical="center"/>
    </xf>
    <xf numFmtId="0" fontId="2" fillId="0" borderId="25" xfId="0" applyFont="1" applyBorder="1" applyAlignment="1">
      <alignment vertical="center"/>
    </xf>
    <xf numFmtId="166" fontId="7" fillId="0" borderId="0" xfId="0" applyNumberFormat="1" applyFont="1" applyAlignment="1">
      <alignment vertical="center"/>
    </xf>
    <xf numFmtId="0" fontId="7" fillId="0" borderId="25" xfId="0" applyFont="1" applyBorder="1" applyAlignment="1">
      <alignment vertical="center"/>
    </xf>
    <xf numFmtId="0" fontId="2" fillId="0" borderId="24" xfId="0" applyFont="1" applyBorder="1"/>
    <xf numFmtId="166" fontId="2" fillId="0" borderId="0" xfId="0" applyNumberFormat="1" applyFont="1"/>
    <xf numFmtId="0" fontId="2" fillId="0" borderId="25" xfId="0" applyFont="1" applyBorder="1"/>
    <xf numFmtId="0" fontId="2" fillId="0" borderId="10" xfId="0" applyFont="1" applyBorder="1"/>
    <xf numFmtId="166" fontId="2" fillId="0" borderId="11" xfId="0" applyNumberFormat="1" applyFont="1" applyBorder="1"/>
    <xf numFmtId="0" fontId="2" fillId="0" borderId="26" xfId="0" applyFont="1" applyBorder="1"/>
    <xf numFmtId="0" fontId="3" fillId="0" borderId="9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166" fontId="16" fillId="0" borderId="9" xfId="0" applyNumberFormat="1" applyFont="1" applyBorder="1" applyAlignment="1">
      <alignment horizontal="right" vertical="center"/>
    </xf>
    <xf numFmtId="166" fontId="16" fillId="0" borderId="9" xfId="0" applyNumberFormat="1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66" fontId="13" fillId="0" borderId="0" xfId="0" applyNumberFormat="1" applyFont="1" applyAlignment="1">
      <alignment horizontal="right" vertical="center" wrapText="1"/>
    </xf>
    <xf numFmtId="0" fontId="14" fillId="0" borderId="23" xfId="0" applyFont="1" applyBorder="1" applyAlignment="1">
      <alignment horizontal="center" vertical="center"/>
    </xf>
    <xf numFmtId="0" fontId="4" fillId="0" borderId="25" xfId="0" applyFont="1" applyBorder="1"/>
    <xf numFmtId="0" fontId="3" fillId="0" borderId="20" xfId="0" applyFont="1" applyBorder="1" applyAlignment="1">
      <alignment horizontal="center"/>
    </xf>
    <xf numFmtId="166" fontId="3" fillId="0" borderId="20" xfId="0" applyNumberFormat="1" applyFont="1" applyBorder="1" applyAlignment="1">
      <alignment horizontal="right"/>
    </xf>
    <xf numFmtId="0" fontId="4" fillId="0" borderId="27" xfId="0" applyFont="1" applyBorder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right"/>
    </xf>
    <xf numFmtId="0" fontId="19" fillId="0" borderId="4" xfId="0" applyFont="1" applyBorder="1" applyAlignment="1">
      <alignment horizontal="left" vertical="center"/>
    </xf>
    <xf numFmtId="0" fontId="19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vertical="center" wrapText="1"/>
    </xf>
    <xf numFmtId="0" fontId="8" fillId="0" borderId="7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8" fillId="0" borderId="7" xfId="0" applyFont="1" applyBorder="1" applyAlignment="1">
      <alignment vertical="center" wrapText="1"/>
    </xf>
    <xf numFmtId="0" fontId="0" fillId="0" borderId="6" xfId="0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right" vertical="center"/>
    </xf>
    <xf numFmtId="0" fontId="22" fillId="0" borderId="7" xfId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23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25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0" fillId="0" borderId="5" xfId="0" applyBorder="1"/>
    <xf numFmtId="0" fontId="26" fillId="0" borderId="0" xfId="0" applyFont="1"/>
    <xf numFmtId="0" fontId="0" fillId="0" borderId="19" xfId="0" applyBorder="1"/>
    <xf numFmtId="0" fontId="0" fillId="0" borderId="20" xfId="0" applyBorder="1"/>
    <xf numFmtId="0" fontId="0" fillId="0" borderId="20" xfId="0" applyBorder="1" applyAlignment="1">
      <alignment horizontal="center"/>
    </xf>
    <xf numFmtId="0" fontId="7" fillId="0" borderId="34" xfId="0" applyFont="1" applyBorder="1" applyAlignment="1">
      <alignment horizontal="right" vertical="center"/>
    </xf>
    <xf numFmtId="0" fontId="7" fillId="0" borderId="14" xfId="0" applyFont="1" applyBorder="1" applyAlignment="1">
      <alignment horizontal="right" vertical="center" wrapText="1"/>
    </xf>
    <xf numFmtId="0" fontId="2" fillId="0" borderId="34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169" fontId="1" fillId="0" borderId="18" xfId="0" applyNumberFormat="1" applyFont="1" applyBorder="1" applyAlignment="1">
      <alignment horizontal="right" vertical="center" wrapText="1"/>
    </xf>
    <xf numFmtId="169" fontId="1" fillId="0" borderId="38" xfId="0" applyNumberFormat="1" applyFont="1" applyBorder="1" applyAlignment="1">
      <alignment horizontal="right" vertical="center" wrapText="1"/>
    </xf>
    <xf numFmtId="0" fontId="3" fillId="0" borderId="9" xfId="0" applyFont="1" applyBorder="1" applyAlignment="1">
      <alignment horizontal="right" vertical="center"/>
    </xf>
    <xf numFmtId="0" fontId="27" fillId="0" borderId="9" xfId="0" applyFont="1" applyBorder="1" applyAlignment="1">
      <alignment horizontal="center" vertical="center" wrapText="1"/>
    </xf>
    <xf numFmtId="169" fontId="24" fillId="0" borderId="9" xfId="0" applyNumberFormat="1" applyFont="1" applyBorder="1" applyAlignment="1">
      <alignment horizontal="right" vertical="center"/>
    </xf>
    <xf numFmtId="166" fontId="4" fillId="0" borderId="36" xfId="0" applyNumberFormat="1" applyFont="1" applyBorder="1" applyAlignment="1">
      <alignment horizontal="right" vertical="center"/>
    </xf>
    <xf numFmtId="0" fontId="12" fillId="0" borderId="4" xfId="0" applyFont="1" applyBorder="1" applyAlignment="1">
      <alignment horizontal="right" vertical="center" wrapText="1"/>
    </xf>
    <xf numFmtId="0" fontId="26" fillId="0" borderId="4" xfId="0" applyFont="1" applyBorder="1" applyAlignment="1">
      <alignment horizontal="center" vertical="center" wrapText="1"/>
    </xf>
    <xf numFmtId="169" fontId="26" fillId="0" borderId="4" xfId="0" applyNumberFormat="1" applyFont="1" applyBorder="1" applyAlignment="1">
      <alignment horizontal="right" vertical="center" wrapText="1"/>
    </xf>
    <xf numFmtId="169" fontId="26" fillId="0" borderId="25" xfId="0" applyNumberFormat="1" applyFont="1" applyBorder="1" applyAlignment="1">
      <alignment horizontal="right" vertical="center" wrapText="1"/>
    </xf>
    <xf numFmtId="0" fontId="26" fillId="0" borderId="0" xfId="0" applyFont="1" applyAlignment="1">
      <alignment horizontal="right"/>
    </xf>
    <xf numFmtId="0" fontId="12" fillId="0" borderId="25" xfId="0" applyFont="1" applyBorder="1" applyAlignment="1">
      <alignment horizontal="right" vertical="center"/>
    </xf>
    <xf numFmtId="0" fontId="26" fillId="0" borderId="0" xfId="0" applyFont="1" applyAlignment="1">
      <alignment horizontal="center" vertical="center" wrapText="1"/>
    </xf>
    <xf numFmtId="169" fontId="26" fillId="0" borderId="0" xfId="0" applyNumberFormat="1" applyFont="1" applyAlignment="1">
      <alignment horizontal="right" vertical="center" wrapText="1"/>
    </xf>
    <xf numFmtId="0" fontId="12" fillId="0" borderId="20" xfId="0" applyFont="1" applyBorder="1" applyAlignment="1">
      <alignment horizontal="right" vertical="center" wrapText="1"/>
    </xf>
    <xf numFmtId="0" fontId="26" fillId="0" borderId="20" xfId="0" applyFont="1" applyBorder="1" applyAlignment="1">
      <alignment horizontal="center" vertical="center" wrapText="1"/>
    </xf>
    <xf numFmtId="169" fontId="26" fillId="0" borderId="20" xfId="0" applyNumberFormat="1" applyFont="1" applyBorder="1" applyAlignment="1">
      <alignment horizontal="right" vertical="center" wrapText="1"/>
    </xf>
    <xf numFmtId="169" fontId="26" fillId="0" borderId="27" xfId="0" applyNumberFormat="1" applyFont="1" applyBorder="1" applyAlignment="1">
      <alignment horizontal="right" vertical="center" wrapText="1"/>
    </xf>
    <xf numFmtId="0" fontId="28" fillId="0" borderId="0" xfId="0" applyFont="1"/>
    <xf numFmtId="0" fontId="28" fillId="0" borderId="5" xfId="3" applyFont="1" applyBorder="1"/>
    <xf numFmtId="0" fontId="28" fillId="0" borderId="0" xfId="3" applyFont="1"/>
    <xf numFmtId="0" fontId="28" fillId="0" borderId="0" xfId="3" applyFont="1" applyAlignment="1">
      <alignment horizontal="left"/>
    </xf>
    <xf numFmtId="0" fontId="29" fillId="0" borderId="0" xfId="3" applyFont="1"/>
    <xf numFmtId="170" fontId="30" fillId="4" borderId="0" xfId="3" applyNumberFormat="1" applyFont="1" applyFill="1" applyAlignment="1">
      <alignment horizontal="right"/>
    </xf>
    <xf numFmtId="0" fontId="28" fillId="4" borderId="0" xfId="3" applyFont="1" applyFill="1" applyAlignment="1">
      <alignment horizontal="justify"/>
    </xf>
    <xf numFmtId="0" fontId="28" fillId="4" borderId="0" xfId="3" applyFont="1" applyFill="1" applyAlignment="1">
      <alignment horizontal="right"/>
    </xf>
    <xf numFmtId="14" fontId="28" fillId="4" borderId="0" xfId="3" applyNumberFormat="1" applyFont="1" applyFill="1" applyAlignment="1">
      <alignment horizontal="justify"/>
    </xf>
    <xf numFmtId="0" fontId="31" fillId="0" borderId="3" xfId="3" applyFont="1" applyBorder="1" applyAlignment="1">
      <alignment horizontal="left"/>
    </xf>
    <xf numFmtId="0" fontId="31" fillId="0" borderId="4" xfId="3" applyFont="1" applyBorder="1"/>
    <xf numFmtId="0" fontId="31" fillId="0" borderId="4" xfId="3" applyFont="1" applyBorder="1" applyAlignment="1">
      <alignment horizontal="left"/>
    </xf>
    <xf numFmtId="0" fontId="29" fillId="0" borderId="4" xfId="3" applyFont="1" applyBorder="1"/>
    <xf numFmtId="0" fontId="28" fillId="0" borderId="4" xfId="3" applyFont="1" applyBorder="1" applyAlignment="1">
      <alignment horizontal="center"/>
    </xf>
    <xf numFmtId="0" fontId="28" fillId="0" borderId="4" xfId="3" applyFont="1" applyBorder="1" applyAlignment="1">
      <alignment horizontal="justify"/>
    </xf>
    <xf numFmtId="0" fontId="28" fillId="0" borderId="5" xfId="3" applyFont="1" applyBorder="1" applyAlignment="1">
      <alignment horizontal="left" vertical="center"/>
    </xf>
    <xf numFmtId="0" fontId="28" fillId="0" borderId="5" xfId="3" applyFont="1" applyBorder="1" applyAlignment="1">
      <alignment horizontal="left"/>
    </xf>
    <xf numFmtId="0" fontId="28" fillId="0" borderId="0" xfId="3" applyFont="1" applyAlignment="1">
      <alignment horizontal="center"/>
    </xf>
    <xf numFmtId="0" fontId="28" fillId="0" borderId="0" xfId="3" applyFont="1" applyAlignment="1">
      <alignment horizontal="justify"/>
    </xf>
    <xf numFmtId="0" fontId="28" fillId="0" borderId="6" xfId="3" applyFont="1" applyBorder="1" applyAlignment="1">
      <alignment horizontal="left"/>
    </xf>
    <xf numFmtId="0" fontId="28" fillId="0" borderId="7" xfId="3" applyFont="1" applyBorder="1"/>
    <xf numFmtId="0" fontId="28" fillId="0" borderId="7" xfId="3" applyFont="1" applyBorder="1" applyAlignment="1">
      <alignment horizontal="left"/>
    </xf>
    <xf numFmtId="0" fontId="29" fillId="0" borderId="7" xfId="3" applyFont="1" applyBorder="1"/>
    <xf numFmtId="0" fontId="28" fillId="0" borderId="7" xfId="3" applyFont="1" applyBorder="1" applyAlignment="1">
      <alignment horizontal="center"/>
    </xf>
    <xf numFmtId="0" fontId="28" fillId="0" borderId="7" xfId="3" applyFont="1" applyBorder="1" applyAlignment="1">
      <alignment horizontal="justify"/>
    </xf>
    <xf numFmtId="0" fontId="31" fillId="0" borderId="3" xfId="3" applyFont="1" applyBorder="1" applyAlignment="1">
      <alignment horizontal="left" vertical="center"/>
    </xf>
    <xf numFmtId="0" fontId="31" fillId="0" borderId="4" xfId="3" applyFont="1" applyBorder="1" applyAlignment="1">
      <alignment vertical="center"/>
    </xf>
    <xf numFmtId="0" fontId="31" fillId="0" borderId="4" xfId="3" applyFont="1" applyBorder="1" applyAlignment="1">
      <alignment horizontal="left" vertical="center"/>
    </xf>
    <xf numFmtId="0" fontId="29" fillId="0" borderId="4" xfId="3" applyFont="1" applyBorder="1" applyAlignment="1">
      <alignment vertical="center"/>
    </xf>
    <xf numFmtId="0" fontId="28" fillId="0" borderId="4" xfId="3" applyFont="1" applyBorder="1" applyAlignment="1">
      <alignment horizontal="center" vertical="center"/>
    </xf>
    <xf numFmtId="0" fontId="28" fillId="0" borderId="4" xfId="3" applyFont="1" applyBorder="1" applyAlignment="1">
      <alignment horizontal="justify" vertical="center"/>
    </xf>
    <xf numFmtId="0" fontId="28" fillId="0" borderId="6" xfId="3" applyFont="1" applyBorder="1" applyAlignment="1">
      <alignment vertical="center"/>
    </xf>
    <xf numFmtId="0" fontId="31" fillId="0" borderId="5" xfId="3" applyFont="1" applyBorder="1" applyAlignment="1">
      <alignment vertical="center"/>
    </xf>
    <xf numFmtId="0" fontId="28" fillId="0" borderId="0" xfId="3" applyFont="1" applyAlignment="1">
      <alignment vertical="center"/>
    </xf>
    <xf numFmtId="0" fontId="28" fillId="0" borderId="0" xfId="3" applyFont="1" applyAlignment="1">
      <alignment horizontal="left" vertical="center"/>
    </xf>
    <xf numFmtId="0" fontId="29" fillId="0" borderId="0" xfId="3" applyFont="1" applyAlignment="1">
      <alignment vertical="center"/>
    </xf>
    <xf numFmtId="0" fontId="28" fillId="0" borderId="0" xfId="3" applyFont="1" applyAlignment="1">
      <alignment horizontal="center" vertical="center"/>
    </xf>
    <xf numFmtId="0" fontId="28" fillId="0" borderId="0" xfId="3" applyFont="1" applyAlignment="1">
      <alignment horizontal="justify" vertical="center"/>
    </xf>
    <xf numFmtId="0" fontId="31" fillId="0" borderId="9" xfId="3" applyFont="1" applyBorder="1" applyAlignment="1">
      <alignment horizontal="center" vertical="center" wrapText="1"/>
    </xf>
    <xf numFmtId="0" fontId="32" fillId="0" borderId="9" xfId="3" applyFont="1" applyBorder="1" applyAlignment="1">
      <alignment horizontal="center" vertical="center" wrapText="1"/>
    </xf>
    <xf numFmtId="0" fontId="1" fillId="0" borderId="17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 wrapText="1"/>
    </xf>
    <xf numFmtId="0" fontId="3" fillId="0" borderId="18" xfId="3" applyFont="1" applyBorder="1" applyAlignment="1">
      <alignment horizontal="center" vertical="center"/>
    </xf>
    <xf numFmtId="0" fontId="1" fillId="0" borderId="18" xfId="3" applyFont="1" applyBorder="1" applyAlignment="1">
      <alignment horizontal="center" vertical="center"/>
    </xf>
    <xf numFmtId="0" fontId="1" fillId="0" borderId="18" xfId="3" applyFont="1" applyBorder="1" applyAlignment="1">
      <alignment horizontal="right" vertical="center" wrapText="1"/>
    </xf>
    <xf numFmtId="171" fontId="24" fillId="0" borderId="9" xfId="3" applyNumberFormat="1" applyFont="1" applyBorder="1" applyAlignment="1">
      <alignment horizontal="center" vertical="center"/>
    </xf>
    <xf numFmtId="0" fontId="34" fillId="0" borderId="9" xfId="3" applyFont="1" applyBorder="1" applyAlignment="1">
      <alignment horizontal="center" vertical="center"/>
    </xf>
    <xf numFmtId="4" fontId="34" fillId="0" borderId="9" xfId="3" applyNumberFormat="1" applyFont="1" applyBorder="1" applyAlignment="1">
      <alignment horizontal="center" vertical="center"/>
    </xf>
    <xf numFmtId="4" fontId="34" fillId="0" borderId="9" xfId="3" applyNumberFormat="1" applyFont="1" applyBorder="1" applyAlignment="1">
      <alignment horizontal="justify" vertical="center"/>
    </xf>
    <xf numFmtId="0" fontId="31" fillId="0" borderId="5" xfId="3" applyFont="1" applyBorder="1"/>
    <xf numFmtId="0" fontId="28" fillId="3" borderId="0" xfId="3" applyFont="1" applyFill="1"/>
    <xf numFmtId="0" fontId="35" fillId="0" borderId="0" xfId="3" applyFont="1"/>
    <xf numFmtId="0" fontId="36" fillId="0" borderId="5" xfId="3" applyFont="1" applyBorder="1"/>
    <xf numFmtId="0" fontId="36" fillId="0" borderId="0" xfId="3" applyFont="1"/>
    <xf numFmtId="0" fontId="36" fillId="0" borderId="0" xfId="3" applyFont="1" applyAlignment="1">
      <alignment horizontal="left"/>
    </xf>
    <xf numFmtId="0" fontId="37" fillId="0" borderId="0" xfId="3" applyFont="1"/>
    <xf numFmtId="0" fontId="36" fillId="0" borderId="0" xfId="3" applyFont="1" applyAlignment="1">
      <alignment horizontal="center"/>
    </xf>
    <xf numFmtId="0" fontId="36" fillId="0" borderId="0" xfId="3" applyFont="1" applyAlignment="1">
      <alignment horizontal="justify"/>
    </xf>
    <xf numFmtId="0" fontId="36" fillId="0" borderId="19" xfId="3" applyFont="1" applyBorder="1"/>
    <xf numFmtId="0" fontId="36" fillId="0" borderId="20" xfId="3" applyFont="1" applyBorder="1"/>
    <xf numFmtId="0" fontId="36" fillId="0" borderId="20" xfId="3" applyFont="1" applyBorder="1" applyAlignment="1">
      <alignment horizontal="left"/>
    </xf>
    <xf numFmtId="0" fontId="37" fillId="0" borderId="20" xfId="3" applyFont="1" applyBorder="1"/>
    <xf numFmtId="0" fontId="36" fillId="0" borderId="20" xfId="3" applyFont="1" applyBorder="1" applyAlignment="1">
      <alignment horizontal="center"/>
    </xf>
    <xf numFmtId="0" fontId="36" fillId="0" borderId="20" xfId="3" applyFont="1" applyBorder="1" applyAlignment="1">
      <alignment horizontal="justify"/>
    </xf>
    <xf numFmtId="169" fontId="28" fillId="0" borderId="25" xfId="3" applyNumberFormat="1" applyFont="1" applyBorder="1" applyAlignment="1">
      <alignment horizontal="right" vertical="center"/>
    </xf>
    <xf numFmtId="169" fontId="28" fillId="0" borderId="23" xfId="3" applyNumberFormat="1" applyFont="1" applyBorder="1" applyAlignment="1">
      <alignment horizontal="right"/>
    </xf>
    <xf numFmtId="169" fontId="28" fillId="0" borderId="25" xfId="3" applyNumberFormat="1" applyFont="1" applyBorder="1" applyAlignment="1">
      <alignment horizontal="right"/>
    </xf>
    <xf numFmtId="169" fontId="28" fillId="0" borderId="39" xfId="3" applyNumberFormat="1" applyFont="1" applyBorder="1" applyAlignment="1">
      <alignment horizontal="right"/>
    </xf>
    <xf numFmtId="169" fontId="28" fillId="0" borderId="23" xfId="3" applyNumberFormat="1" applyFont="1" applyBorder="1" applyAlignment="1">
      <alignment horizontal="right" vertical="center"/>
    </xf>
    <xf numFmtId="169" fontId="1" fillId="0" borderId="38" xfId="3" applyNumberFormat="1" applyFont="1" applyBorder="1" applyAlignment="1">
      <alignment horizontal="right" vertical="center" wrapText="1"/>
    </xf>
    <xf numFmtId="166" fontId="34" fillId="0" borderId="36" xfId="3" applyNumberFormat="1" applyFont="1" applyBorder="1" applyAlignment="1">
      <alignment horizontal="right" vertical="center"/>
    </xf>
    <xf numFmtId="169" fontId="28" fillId="0" borderId="27" xfId="3" applyNumberFormat="1" applyFont="1" applyBorder="1" applyAlignment="1">
      <alignment horizontal="right"/>
    </xf>
    <xf numFmtId="0" fontId="26" fillId="0" borderId="1" xfId="3" applyFont="1" applyBorder="1" applyAlignment="1">
      <alignment horizontal="center" vertical="center"/>
    </xf>
    <xf numFmtId="0" fontId="26" fillId="0" borderId="2" xfId="3" applyFont="1" applyBorder="1" applyAlignment="1">
      <alignment horizontal="center" vertical="center"/>
    </xf>
    <xf numFmtId="0" fontId="26" fillId="0" borderId="21" xfId="3" applyFont="1" applyBorder="1" applyAlignment="1">
      <alignment horizontal="center" vertical="center"/>
    </xf>
    <xf numFmtId="0" fontId="28" fillId="0" borderId="0" xfId="3" applyFont="1" applyAlignment="1">
      <alignment horizontal="left" vertical="center" wrapText="1"/>
    </xf>
    <xf numFmtId="0" fontId="29" fillId="0" borderId="0" xfId="3" applyFont="1" applyAlignment="1">
      <alignment horizontal="left" vertical="center" wrapText="1"/>
    </xf>
    <xf numFmtId="0" fontId="28" fillId="0" borderId="0" xfId="3" applyFont="1" applyAlignment="1">
      <alignment horizontal="center" vertical="center" wrapText="1"/>
    </xf>
    <xf numFmtId="0" fontId="28" fillId="0" borderId="0" xfId="3" applyFont="1" applyAlignment="1">
      <alignment horizontal="justify" vertical="center" wrapText="1"/>
    </xf>
    <xf numFmtId="169" fontId="28" fillId="0" borderId="25" xfId="3" applyNumberFormat="1" applyFont="1" applyBorder="1" applyAlignment="1">
      <alignment horizontal="right" vertical="center" wrapText="1"/>
    </xf>
    <xf numFmtId="0" fontId="28" fillId="0" borderId="7" xfId="3" applyFont="1" applyBorder="1" applyAlignment="1">
      <alignment horizontal="left" vertical="center" wrapText="1"/>
    </xf>
    <xf numFmtId="0" fontId="29" fillId="0" borderId="7" xfId="3" applyFont="1" applyBorder="1" applyAlignment="1">
      <alignment horizontal="left" vertical="center" wrapText="1"/>
    </xf>
    <xf numFmtId="0" fontId="28" fillId="0" borderId="7" xfId="3" applyFont="1" applyBorder="1" applyAlignment="1">
      <alignment horizontal="center" vertical="center" wrapText="1"/>
    </xf>
    <xf numFmtId="0" fontId="28" fillId="0" borderId="7" xfId="3" applyFont="1" applyBorder="1" applyAlignment="1">
      <alignment horizontal="justify" vertical="center" wrapText="1"/>
    </xf>
    <xf numFmtId="169" fontId="28" fillId="0" borderId="39" xfId="3" applyNumberFormat="1" applyFont="1" applyBorder="1" applyAlignment="1">
      <alignment horizontal="right" vertical="center" wrapText="1"/>
    </xf>
    <xf numFmtId="0" fontId="31" fillId="0" borderId="10" xfId="3" applyFont="1" applyBorder="1" applyAlignment="1">
      <alignment horizontal="center" vertical="center" wrapText="1"/>
    </xf>
    <xf numFmtId="0" fontId="31" fillId="0" borderId="11" xfId="3" applyFont="1" applyBorder="1" applyAlignment="1">
      <alignment horizontal="center" vertical="center" wrapText="1"/>
    </xf>
    <xf numFmtId="0" fontId="31" fillId="0" borderId="11" xfId="3" applyFont="1" applyBorder="1" applyAlignment="1">
      <alignment horizontal="left" vertical="center" wrapText="1"/>
    </xf>
    <xf numFmtId="0" fontId="33" fillId="0" borderId="30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8" fillId="0" borderId="5" xfId="3" applyFont="1" applyBorder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left"/>
    </xf>
    <xf numFmtId="169" fontId="8" fillId="0" borderId="25" xfId="3" applyNumberFormat="1" applyFont="1" applyBorder="1" applyAlignment="1">
      <alignment horizontal="left"/>
    </xf>
    <xf numFmtId="0" fontId="31" fillId="0" borderId="31" xfId="3" applyFont="1" applyBorder="1" applyAlignment="1">
      <alignment horizontal="center" vertical="center"/>
    </xf>
    <xf numFmtId="0" fontId="31" fillId="0" borderId="17" xfId="3" applyFont="1" applyBorder="1" applyAlignment="1">
      <alignment horizontal="center" vertical="center"/>
    </xf>
    <xf numFmtId="0" fontId="32" fillId="0" borderId="16" xfId="3" applyFont="1" applyBorder="1" applyAlignment="1">
      <alignment horizontal="center" vertical="center"/>
    </xf>
    <xf numFmtId="0" fontId="32" fillId="0" borderId="18" xfId="3" applyFont="1" applyBorder="1" applyAlignment="1">
      <alignment horizontal="center" vertical="center"/>
    </xf>
    <xf numFmtId="0" fontId="31" fillId="0" borderId="16" xfId="3" applyFont="1" applyBorder="1" applyAlignment="1">
      <alignment horizontal="center" vertical="center"/>
    </xf>
    <xf numFmtId="0" fontId="31" fillId="0" borderId="18" xfId="3" applyFont="1" applyBorder="1" applyAlignment="1">
      <alignment horizontal="center" vertical="center"/>
    </xf>
    <xf numFmtId="0" fontId="31" fillId="0" borderId="16" xfId="3" applyFont="1" applyBorder="1" applyAlignment="1">
      <alignment horizontal="center" vertical="center" wrapText="1"/>
    </xf>
    <xf numFmtId="0" fontId="31" fillId="0" borderId="18" xfId="3" applyFont="1" applyBorder="1" applyAlignment="1">
      <alignment horizontal="center" vertical="center" wrapText="1"/>
    </xf>
    <xf numFmtId="169" fontId="31" fillId="0" borderId="40" xfId="3" applyNumberFormat="1" applyFont="1" applyBorder="1" applyAlignment="1">
      <alignment horizontal="center" vertical="center" wrapText="1"/>
    </xf>
    <xf numFmtId="169" fontId="31" fillId="0" borderId="38" xfId="3" applyNumberFormat="1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9" xfId="0" applyFont="1" applyBorder="1" applyAlignment="1">
      <alignment horizontal="right" vertical="center"/>
    </xf>
    <xf numFmtId="169" fontId="18" fillId="0" borderId="29" xfId="0" applyNumberFormat="1" applyFont="1" applyBorder="1" applyAlignment="1">
      <alignment horizontal="right" vertical="center"/>
    </xf>
    <xf numFmtId="169" fontId="18" fillId="0" borderId="33" xfId="0" applyNumberFormat="1" applyFont="1" applyBorder="1" applyAlignment="1">
      <alignment horizontal="right" vertical="center"/>
    </xf>
    <xf numFmtId="0" fontId="19" fillId="0" borderId="3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0" fillId="2" borderId="22" xfId="0" applyFill="1" applyBorder="1" applyAlignment="1">
      <alignment horizontal="left" vertical="center"/>
    </xf>
    <xf numFmtId="169" fontId="0" fillId="2" borderId="4" xfId="0" applyNumberFormat="1" applyFill="1" applyBorder="1" applyAlignment="1">
      <alignment horizontal="left" vertical="center"/>
    </xf>
    <xf numFmtId="169" fontId="0" fillId="2" borderId="23" xfId="0" applyNumberForma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5" xfId="0" applyFont="1" applyBorder="1" applyAlignment="1">
      <alignment horizontal="right" vertical="center"/>
    </xf>
    <xf numFmtId="14" fontId="0" fillId="2" borderId="24" xfId="0" applyNumberFormat="1" applyFill="1" applyBorder="1" applyAlignment="1">
      <alignment horizontal="left" vertical="center" wrapText="1"/>
    </xf>
    <xf numFmtId="169" fontId="0" fillId="2" borderId="0" xfId="0" applyNumberFormat="1" applyFill="1" applyAlignment="1">
      <alignment horizontal="left" vertical="center"/>
    </xf>
    <xf numFmtId="169" fontId="0" fillId="2" borderId="25" xfId="0" applyNumberFormat="1" applyFill="1" applyBorder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35" xfId="0" applyFont="1" applyBorder="1" applyAlignment="1">
      <alignment horizontal="right" vertical="center" wrapText="1"/>
    </xf>
    <xf numFmtId="0" fontId="0" fillId="0" borderId="24" xfId="0" applyBorder="1" applyAlignment="1">
      <alignment horizontal="left" vertical="center"/>
    </xf>
    <xf numFmtId="169" fontId="0" fillId="0" borderId="0" xfId="0" applyNumberFormat="1" applyAlignment="1">
      <alignment horizontal="left" vertical="center"/>
    </xf>
    <xf numFmtId="169" fontId="0" fillId="0" borderId="25" xfId="0" applyNumberFormat="1" applyBorder="1" applyAlignment="1">
      <alignment horizontal="left" vertical="center"/>
    </xf>
    <xf numFmtId="0" fontId="0" fillId="3" borderId="24" xfId="0" applyFill="1" applyBorder="1" applyAlignment="1">
      <alignment horizontal="left" vertical="center"/>
    </xf>
    <xf numFmtId="169" fontId="0" fillId="3" borderId="0" xfId="0" applyNumberFormat="1" applyFill="1" applyAlignment="1">
      <alignment horizontal="left" vertical="center"/>
    </xf>
    <xf numFmtId="169" fontId="0" fillId="3" borderId="25" xfId="0" applyNumberForma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5" xfId="0" applyFont="1" applyBorder="1" applyAlignment="1">
      <alignment horizontal="right" vertical="center"/>
    </xf>
    <xf numFmtId="0" fontId="8" fillId="0" borderId="3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32" xfId="0" applyFont="1" applyBorder="1" applyAlignment="1">
      <alignment horizontal="right"/>
    </xf>
    <xf numFmtId="0" fontId="0" fillId="0" borderId="9" xfId="0" applyBorder="1" applyAlignment="1">
      <alignment horizontal="center" vertical="center"/>
    </xf>
    <xf numFmtId="169" fontId="0" fillId="0" borderId="9" xfId="0" applyNumberFormat="1" applyBorder="1" applyAlignment="1">
      <alignment horizontal="right" vertical="center"/>
    </xf>
    <xf numFmtId="169" fontId="0" fillId="0" borderId="36" xfId="0" applyNumberFormat="1" applyBorder="1" applyAlignment="1">
      <alignment horizontal="right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9" fontId="8" fillId="0" borderId="15" xfId="0" applyNumberFormat="1" applyFont="1" applyBorder="1" applyAlignment="1">
      <alignment horizontal="center" vertical="center" wrapText="1"/>
    </xf>
    <xf numFmtId="169" fontId="8" fillId="0" borderId="18" xfId="0" applyNumberFormat="1" applyFont="1" applyBorder="1" applyAlignment="1">
      <alignment horizontal="center" vertical="center" wrapText="1"/>
    </xf>
    <xf numFmtId="169" fontId="8" fillId="0" borderId="37" xfId="0" applyNumberFormat="1" applyFont="1" applyBorder="1" applyAlignment="1">
      <alignment horizontal="center" vertical="center" wrapText="1"/>
    </xf>
    <xf numFmtId="169" fontId="8" fillId="0" borderId="38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13" fillId="0" borderId="2" xfId="0" applyFont="1" applyBorder="1" applyAlignment="1">
      <alignment horizontal="center" vertical="center"/>
    </xf>
    <xf numFmtId="166" fontId="13" fillId="0" borderId="2" xfId="0" applyNumberFormat="1" applyFont="1" applyBorder="1" applyAlignment="1">
      <alignment horizontal="right" vertical="center"/>
    </xf>
    <xf numFmtId="0" fontId="14" fillId="0" borderId="21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7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right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66" fontId="13" fillId="0" borderId="0" xfId="0" applyNumberFormat="1" applyFont="1" applyAlignment="1">
      <alignment horizontal="right" vertical="center" wrapText="1"/>
    </xf>
    <xf numFmtId="0" fontId="12" fillId="0" borderId="25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/>
    </xf>
  </cellXfs>
  <cellStyles count="5">
    <cellStyle name="0,0_x000a__x000a_NA_x000a__x000a_" xfId="4" xr:uid="{00000000-0005-0000-0000-000033000000}"/>
    <cellStyle name="Hyperlink" xfId="1" builtinId="8"/>
    <cellStyle name="Normal" xfId="0" builtinId="0"/>
    <cellStyle name="Normal 4" xfId="3" xr:uid="{00000000-0005-0000-0000-000030000000}"/>
    <cellStyle name="一般" xfId="2" xr:uid="{00000000-0005-0000-0000-000024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704850</xdr:colOff>
      <xdr:row>23</xdr:row>
      <xdr:rowOff>44450</xdr:rowOff>
    </xdr:from>
    <xdr:to>
      <xdr:col>3</xdr:col>
      <xdr:colOff>2419350</xdr:colOff>
      <xdr:row>28</xdr:row>
      <xdr:rowOff>41275</xdr:rowOff>
    </xdr:to>
    <xdr:pic>
      <xdr:nvPicPr>
        <xdr:cNvPr id="3" name="图片 2" descr="MP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7870" r="8796"/>
        <a:stretch>
          <a:fillRect/>
        </a:stretch>
      </xdr:blipFill>
      <xdr:spPr>
        <a:xfrm>
          <a:off x="3171825" y="6451600"/>
          <a:ext cx="1714500" cy="126682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228600</xdr:colOff>
      <xdr:row>22</xdr:row>
      <xdr:rowOff>230505</xdr:rowOff>
    </xdr:from>
    <xdr:to>
      <xdr:col>8</xdr:col>
      <xdr:colOff>200025</xdr:colOff>
      <xdr:row>28</xdr:row>
      <xdr:rowOff>82550</xdr:rowOff>
    </xdr:to>
    <xdr:pic>
      <xdr:nvPicPr>
        <xdr:cNvPr id="2" name="图片 1" descr="mpvn chop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24775" y="6383655"/>
          <a:ext cx="1452880" cy="13760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1914525</xdr:colOff>
      <xdr:row>16</xdr:row>
      <xdr:rowOff>302895</xdr:rowOff>
    </xdr:from>
    <xdr:to>
      <xdr:col>6</xdr:col>
      <xdr:colOff>819150</xdr:colOff>
      <xdr:row>22</xdr:row>
      <xdr:rowOff>74295</xdr:rowOff>
    </xdr:to>
    <xdr:pic>
      <xdr:nvPicPr>
        <xdr:cNvPr id="2" name="图片 1" descr="MP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7870" r="7870"/>
        <a:stretch>
          <a:fillRect/>
        </a:stretch>
      </xdr:blipFill>
      <xdr:spPr>
        <a:xfrm>
          <a:off x="6706870" y="5179060"/>
          <a:ext cx="1733550" cy="1266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381000</xdr:colOff>
      <xdr:row>16</xdr:row>
      <xdr:rowOff>190500</xdr:rowOff>
    </xdr:from>
    <xdr:to>
      <xdr:col>4</xdr:col>
      <xdr:colOff>2143125</xdr:colOff>
      <xdr:row>23</xdr:row>
      <xdr:rowOff>142875</xdr:rowOff>
    </xdr:to>
    <xdr:pic>
      <xdr:nvPicPr>
        <xdr:cNvPr id="2" name="图片 1" descr="MP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6481" r="7870"/>
        <a:stretch>
          <a:fillRect/>
        </a:stretch>
      </xdr:blipFill>
      <xdr:spPr>
        <a:xfrm>
          <a:off x="3754120" y="3651250"/>
          <a:ext cx="1762125" cy="126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workbookViewId="0">
      <selection activeCell="I13" sqref="I13"/>
    </sheetView>
  </sheetViews>
  <sheetFormatPr defaultColWidth="9" defaultRowHeight="14.4"/>
  <cols>
    <col min="1" max="1" width="6.44140625" customWidth="1"/>
    <col min="2" max="2" width="18.6640625" customWidth="1"/>
    <col min="3" max="3" width="7.21875" customWidth="1"/>
    <col min="4" max="4" width="50.33203125" customWidth="1"/>
    <col min="5" max="5" width="9.33203125" customWidth="1"/>
    <col min="6" max="6" width="6.21875" customWidth="1"/>
    <col min="7" max="7" width="10.109375" customWidth="1"/>
    <col min="8" max="8" width="9.33203125" customWidth="1"/>
    <col min="9" max="9" width="11.21875" customWidth="1"/>
  </cols>
  <sheetData>
    <row r="1" spans="1:9" ht="18">
      <c r="A1" s="192" t="s">
        <v>0</v>
      </c>
      <c r="B1" s="193"/>
      <c r="C1" s="193"/>
      <c r="D1" s="193"/>
      <c r="E1" s="193"/>
      <c r="F1" s="193"/>
      <c r="G1" s="193"/>
      <c r="H1" s="193"/>
      <c r="I1" s="194"/>
    </row>
    <row r="2" spans="1:9" s="120" customFormat="1" ht="19.95" customHeight="1">
      <c r="A2" s="121"/>
      <c r="B2" s="122"/>
      <c r="C2" s="122"/>
      <c r="D2" s="123"/>
      <c r="E2" s="124"/>
      <c r="G2" s="125" t="s">
        <v>1</v>
      </c>
      <c r="H2" s="126" t="s">
        <v>2</v>
      </c>
      <c r="I2" s="184"/>
    </row>
    <row r="3" spans="1:9" s="120" customFormat="1" ht="19.95" customHeight="1">
      <c r="A3" s="121"/>
      <c r="B3" s="122"/>
      <c r="C3" s="122"/>
      <c r="D3" s="123"/>
      <c r="E3" s="124"/>
      <c r="G3" s="127" t="s">
        <v>3</v>
      </c>
      <c r="H3" s="128">
        <v>45593</v>
      </c>
      <c r="I3" s="184"/>
    </row>
    <row r="4" spans="1:9" s="120" customFormat="1" ht="19.95" customHeight="1">
      <c r="A4" s="129" t="s">
        <v>4</v>
      </c>
      <c r="B4" s="130"/>
      <c r="C4" s="130"/>
      <c r="D4" s="131"/>
      <c r="E4" s="132"/>
      <c r="F4" s="133"/>
      <c r="G4" s="133"/>
      <c r="H4" s="134"/>
      <c r="I4" s="185"/>
    </row>
    <row r="5" spans="1:9" s="120" customFormat="1" ht="36" customHeight="1">
      <c r="A5" s="135"/>
      <c r="B5" s="195" t="s">
        <v>5</v>
      </c>
      <c r="C5" s="195"/>
      <c r="D5" s="195"/>
      <c r="E5" s="196"/>
      <c r="F5" s="197"/>
      <c r="G5" s="197"/>
      <c r="H5" s="198"/>
      <c r="I5" s="199"/>
    </row>
    <row r="6" spans="1:9" s="120" customFormat="1" ht="19.95" customHeight="1">
      <c r="A6" s="136"/>
      <c r="B6" s="122" t="s">
        <v>6</v>
      </c>
      <c r="C6" s="122"/>
      <c r="D6" s="123"/>
      <c r="E6" s="124"/>
      <c r="F6" s="137"/>
      <c r="G6" s="137"/>
      <c r="H6" s="138"/>
      <c r="I6" s="186"/>
    </row>
    <row r="7" spans="1:9" s="120" customFormat="1" ht="19.95" customHeight="1">
      <c r="A7" s="139"/>
      <c r="B7" s="140" t="s">
        <v>7</v>
      </c>
      <c r="C7" s="140"/>
      <c r="D7" s="141"/>
      <c r="E7" s="142"/>
      <c r="F7" s="143"/>
      <c r="G7" s="143"/>
      <c r="H7" s="144"/>
      <c r="I7" s="187"/>
    </row>
    <row r="8" spans="1:9" s="120" customFormat="1" ht="19.95" customHeight="1">
      <c r="A8" s="145" t="s">
        <v>8</v>
      </c>
      <c r="B8" s="146"/>
      <c r="C8" s="146"/>
      <c r="D8" s="147"/>
      <c r="E8" s="148"/>
      <c r="F8" s="149"/>
      <c r="G8" s="149"/>
      <c r="H8" s="150"/>
      <c r="I8" s="188"/>
    </row>
    <row r="9" spans="1:9" s="120" customFormat="1" ht="33" customHeight="1">
      <c r="A9" s="151"/>
      <c r="B9" s="200" t="s">
        <v>9</v>
      </c>
      <c r="C9" s="200"/>
      <c r="D9" s="200"/>
      <c r="E9" s="201"/>
      <c r="F9" s="202"/>
      <c r="G9" s="202"/>
      <c r="H9" s="203"/>
      <c r="I9" s="204"/>
    </row>
    <row r="10" spans="1:9" s="120" customFormat="1" ht="19.95" customHeight="1">
      <c r="A10" s="152" t="s">
        <v>10</v>
      </c>
      <c r="B10" s="153"/>
      <c r="C10" s="153"/>
      <c r="D10" s="154"/>
      <c r="E10" s="155"/>
      <c r="F10" s="156"/>
      <c r="G10" s="156"/>
      <c r="H10" s="157"/>
      <c r="I10" s="184"/>
    </row>
    <row r="11" spans="1:9" s="120" customFormat="1" ht="22.05" customHeight="1">
      <c r="A11" s="214" t="s">
        <v>11</v>
      </c>
      <c r="B11" s="205" t="s">
        <v>12</v>
      </c>
      <c r="C11" s="206"/>
      <c r="D11" s="207"/>
      <c r="E11" s="216" t="s">
        <v>13</v>
      </c>
      <c r="F11" s="218" t="s">
        <v>14</v>
      </c>
      <c r="G11" s="218" t="s">
        <v>15</v>
      </c>
      <c r="H11" s="220" t="s">
        <v>16</v>
      </c>
      <c r="I11" s="222" t="s">
        <v>17</v>
      </c>
    </row>
    <row r="12" spans="1:9" s="120" customFormat="1" ht="27" customHeight="1">
      <c r="A12" s="215"/>
      <c r="B12" s="158" t="s">
        <v>18</v>
      </c>
      <c r="C12" s="159" t="s">
        <v>19</v>
      </c>
      <c r="D12" s="158" t="s">
        <v>20</v>
      </c>
      <c r="E12" s="217"/>
      <c r="F12" s="219"/>
      <c r="G12" s="219"/>
      <c r="H12" s="221"/>
      <c r="I12" s="223"/>
    </row>
    <row r="13" spans="1:9" s="1" customFormat="1" ht="27" customHeight="1">
      <c r="A13" s="160">
        <v>1</v>
      </c>
      <c r="B13" s="22" t="s">
        <v>21</v>
      </c>
      <c r="C13" s="161">
        <v>1</v>
      </c>
      <c r="D13" s="23" t="s">
        <v>22</v>
      </c>
      <c r="E13" s="162">
        <v>2</v>
      </c>
      <c r="F13" s="163" t="s">
        <v>23</v>
      </c>
      <c r="G13" s="163" t="s">
        <v>24</v>
      </c>
      <c r="H13" s="164">
        <v>10</v>
      </c>
      <c r="I13" s="189">
        <f>H13*E13</f>
        <v>20</v>
      </c>
    </row>
    <row r="14" spans="1:9" s="120" customFormat="1" ht="19.95" customHeight="1">
      <c r="A14" s="208" t="s">
        <v>25</v>
      </c>
      <c r="B14" s="209"/>
      <c r="C14" s="209"/>
      <c r="D14" s="209"/>
      <c r="E14" s="165">
        <f>SUM(E13:E13)</f>
        <v>2</v>
      </c>
      <c r="F14" s="166"/>
      <c r="G14" s="167"/>
      <c r="H14" s="168"/>
      <c r="I14" s="190">
        <f>SUM(I13:I13)</f>
        <v>20</v>
      </c>
    </row>
    <row r="15" spans="1:9" s="120" customFormat="1" ht="19.95" customHeight="1">
      <c r="A15" s="169" t="s">
        <v>26</v>
      </c>
      <c r="B15" s="122"/>
      <c r="C15" s="122"/>
      <c r="D15" s="123"/>
      <c r="E15" s="124"/>
      <c r="F15" s="137"/>
      <c r="G15" s="137"/>
      <c r="H15" s="138"/>
      <c r="I15" s="186"/>
    </row>
    <row r="16" spans="1:9" s="120" customFormat="1" ht="19.95" customHeight="1">
      <c r="A16" s="121"/>
      <c r="B16" s="122" t="s">
        <v>27</v>
      </c>
      <c r="C16" s="122"/>
      <c r="D16" s="123"/>
      <c r="E16" s="124"/>
      <c r="F16" s="137"/>
      <c r="G16" s="137"/>
      <c r="H16" s="138"/>
      <c r="I16" s="186"/>
    </row>
    <row r="17" spans="1:9" s="120" customFormat="1" ht="19.95" customHeight="1">
      <c r="A17" s="121"/>
      <c r="B17" s="122" t="s">
        <v>28</v>
      </c>
      <c r="C17" s="122"/>
      <c r="D17" s="123"/>
      <c r="E17" s="124"/>
      <c r="F17" s="137"/>
      <c r="G17" s="137"/>
      <c r="H17" s="138"/>
      <c r="I17" s="186"/>
    </row>
    <row r="18" spans="1:9" s="120" customFormat="1" ht="19.95" customHeight="1">
      <c r="A18" s="121"/>
      <c r="B18" s="170" t="s">
        <v>29</v>
      </c>
      <c r="C18" s="170"/>
      <c r="D18" s="123"/>
      <c r="E18" s="124"/>
      <c r="F18" s="137"/>
      <c r="G18" s="137"/>
      <c r="H18" s="138"/>
      <c r="I18" s="186"/>
    </row>
    <row r="19" spans="1:9" s="120" customFormat="1" ht="19.95" customHeight="1">
      <c r="A19" s="121"/>
      <c r="B19" s="122" t="s">
        <v>30</v>
      </c>
      <c r="C19" s="122"/>
      <c r="D19" s="123"/>
      <c r="E19" s="124"/>
      <c r="F19" s="137"/>
      <c r="G19" s="137"/>
      <c r="H19" s="138"/>
      <c r="I19" s="186"/>
    </row>
    <row r="20" spans="1:9" s="120" customFormat="1" ht="19.95" customHeight="1">
      <c r="A20" s="121"/>
      <c r="B20" s="122" t="s">
        <v>31</v>
      </c>
      <c r="C20" s="122"/>
      <c r="D20" s="123"/>
      <c r="E20" s="124"/>
      <c r="F20" s="137"/>
      <c r="G20" s="137"/>
      <c r="H20" s="138"/>
      <c r="I20" s="186"/>
    </row>
    <row r="21" spans="1:9" s="120" customFormat="1" ht="19.95" customHeight="1">
      <c r="A21" s="121"/>
      <c r="B21" s="122" t="s">
        <v>32</v>
      </c>
      <c r="C21" s="122"/>
      <c r="D21" s="123"/>
      <c r="E21" s="124"/>
      <c r="F21" s="137"/>
      <c r="G21" s="137"/>
      <c r="H21" s="138"/>
      <c r="I21" s="186"/>
    </row>
    <row r="22" spans="1:9" s="120" customFormat="1" ht="19.95" customHeight="1">
      <c r="A22" s="121"/>
      <c r="B22" s="122" t="s">
        <v>33</v>
      </c>
      <c r="C22" s="122"/>
      <c r="D22" s="123"/>
      <c r="E22" s="124"/>
      <c r="F22" s="137"/>
      <c r="G22" s="137"/>
      <c r="H22" s="138"/>
      <c r="I22" s="186"/>
    </row>
    <row r="23" spans="1:9" ht="19.95" customHeight="1">
      <c r="A23" s="210" t="s">
        <v>34</v>
      </c>
      <c r="B23" s="211"/>
      <c r="C23" s="211"/>
      <c r="D23" s="212"/>
      <c r="E23" s="171"/>
      <c r="F23" s="212" t="s">
        <v>35</v>
      </c>
      <c r="G23" s="212"/>
      <c r="H23" s="212"/>
      <c r="I23" s="213"/>
    </row>
    <row r="24" spans="1:9" ht="19.95" customHeight="1">
      <c r="A24" s="172"/>
      <c r="B24" s="173"/>
      <c r="C24" s="173"/>
      <c r="D24" s="174"/>
      <c r="E24" s="175"/>
      <c r="F24" s="176"/>
      <c r="G24" s="176"/>
      <c r="H24" s="177"/>
      <c r="I24" s="186"/>
    </row>
    <row r="25" spans="1:9" ht="19.95" customHeight="1">
      <c r="A25" s="172"/>
      <c r="B25" s="173"/>
      <c r="C25" s="173"/>
      <c r="D25" s="174"/>
      <c r="E25" s="175"/>
      <c r="F25" s="176"/>
      <c r="G25" s="176"/>
      <c r="H25" s="177"/>
      <c r="I25" s="186"/>
    </row>
    <row r="26" spans="1:9" ht="19.95" customHeight="1">
      <c r="A26" s="172"/>
      <c r="B26" s="173"/>
      <c r="C26" s="173"/>
      <c r="D26" s="174"/>
      <c r="E26" s="175"/>
      <c r="F26" s="176"/>
      <c r="G26" s="176"/>
      <c r="H26" s="177"/>
      <c r="I26" s="186"/>
    </row>
    <row r="27" spans="1:9" ht="19.95" customHeight="1">
      <c r="A27" s="172"/>
      <c r="B27" s="173"/>
      <c r="C27" s="173"/>
      <c r="D27" s="174"/>
      <c r="E27" s="175"/>
      <c r="F27" s="176"/>
      <c r="G27" s="176"/>
      <c r="H27" s="177"/>
      <c r="I27" s="186"/>
    </row>
    <row r="28" spans="1:9" ht="19.95" customHeight="1">
      <c r="A28" s="172"/>
      <c r="B28" s="173"/>
      <c r="C28" s="173"/>
      <c r="D28" s="174"/>
      <c r="E28" s="175"/>
      <c r="F28" s="176"/>
      <c r="G28" s="176"/>
      <c r="H28" s="177"/>
      <c r="I28" s="186"/>
    </row>
    <row r="29" spans="1:9" ht="19.95" customHeight="1">
      <c r="A29" s="178"/>
      <c r="B29" s="179"/>
      <c r="C29" s="179"/>
      <c r="D29" s="180"/>
      <c r="E29" s="181"/>
      <c r="F29" s="182"/>
      <c r="G29" s="182"/>
      <c r="H29" s="183"/>
      <c r="I29" s="191"/>
    </row>
  </sheetData>
  <mergeCells count="13">
    <mergeCell ref="A23:D23"/>
    <mergeCell ref="F23:I23"/>
    <mergeCell ref="A11:A12"/>
    <mergeCell ref="E11:E12"/>
    <mergeCell ref="F11:F12"/>
    <mergeCell ref="G11:G12"/>
    <mergeCell ref="H11:H12"/>
    <mergeCell ref="I11:I12"/>
    <mergeCell ref="A1:I1"/>
    <mergeCell ref="B5:I5"/>
    <mergeCell ref="B9:I9"/>
    <mergeCell ref="B11:D11"/>
    <mergeCell ref="A14:D1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L23"/>
  <sheetViews>
    <sheetView tabSelected="1" topLeftCell="A10" workbookViewId="0">
      <selection activeCell="I15" sqref="I15"/>
    </sheetView>
  </sheetViews>
  <sheetFormatPr defaultColWidth="9" defaultRowHeight="14.4"/>
  <cols>
    <col min="1" max="1" width="5.109375" customWidth="1"/>
    <col min="2" max="2" width="14.33203125" customWidth="1"/>
    <col min="3" max="3" width="8.77734375" style="67" customWidth="1"/>
    <col min="4" max="4" width="18.109375" customWidth="1"/>
    <col min="5" max="5" width="16.44140625" customWidth="1"/>
    <col min="6" max="6" width="37.109375" customWidth="1"/>
    <col min="7" max="7" width="13.88671875" style="4" customWidth="1"/>
    <col min="8" max="8" width="11.21875" style="67" customWidth="1"/>
    <col min="9" max="9" width="9.44140625" style="5" customWidth="1"/>
    <col min="10" max="10" width="8" style="67" customWidth="1"/>
    <col min="11" max="11" width="12.33203125" style="68" customWidth="1"/>
    <col min="12" max="12" width="11.88671875" style="68" customWidth="1"/>
  </cols>
  <sheetData>
    <row r="1" spans="1:12" ht="37.5" customHeight="1">
      <c r="A1" s="224" t="s">
        <v>36</v>
      </c>
      <c r="B1" s="225"/>
      <c r="C1" s="225"/>
      <c r="D1" s="225"/>
      <c r="E1" s="225"/>
      <c r="F1" s="225"/>
      <c r="G1" s="226"/>
      <c r="H1" s="225"/>
      <c r="I1" s="227"/>
      <c r="J1" s="225"/>
      <c r="K1" s="228"/>
      <c r="L1" s="229"/>
    </row>
    <row r="2" spans="1:12" ht="20.100000000000001" customHeight="1">
      <c r="A2" s="230" t="s">
        <v>37</v>
      </c>
      <c r="B2" s="231"/>
      <c r="C2" s="70"/>
      <c r="D2" s="69"/>
      <c r="E2" s="69"/>
      <c r="F2" s="69"/>
      <c r="G2" s="71"/>
      <c r="H2" s="72"/>
      <c r="I2" s="98"/>
      <c r="J2" s="232" t="s">
        <v>38</v>
      </c>
      <c r="K2" s="233"/>
      <c r="L2" s="234"/>
    </row>
    <row r="3" spans="1:12" ht="20.100000000000001" customHeight="1">
      <c r="A3" s="73"/>
      <c r="B3" s="235" t="s">
        <v>39</v>
      </c>
      <c r="C3" s="236"/>
      <c r="D3" s="235"/>
      <c r="E3" s="235"/>
      <c r="F3" s="235"/>
      <c r="G3" s="237"/>
      <c r="H3" s="235"/>
      <c r="I3" s="238"/>
      <c r="J3" s="239" t="s">
        <v>40</v>
      </c>
      <c r="K3" s="240"/>
      <c r="L3" s="241"/>
    </row>
    <row r="4" spans="1:12" ht="20.100000000000001" customHeight="1">
      <c r="A4" s="73"/>
      <c r="B4" s="242" t="s">
        <v>9</v>
      </c>
      <c r="C4" s="243"/>
      <c r="D4" s="242"/>
      <c r="E4" s="242"/>
      <c r="F4" s="244"/>
      <c r="G4" s="245"/>
      <c r="H4" s="244"/>
      <c r="I4" s="246"/>
      <c r="J4" s="247" t="s">
        <v>41</v>
      </c>
      <c r="K4" s="248"/>
      <c r="L4" s="249"/>
    </row>
    <row r="5" spans="1:12" ht="21.75" customHeight="1">
      <c r="A5" s="76"/>
      <c r="B5" s="77" t="s">
        <v>42</v>
      </c>
      <c r="C5" s="75"/>
      <c r="D5" s="74"/>
      <c r="E5" s="74"/>
      <c r="F5" s="78"/>
      <c r="G5" s="17"/>
      <c r="H5" s="79"/>
      <c r="I5" s="99"/>
      <c r="J5" s="250" t="s">
        <v>43</v>
      </c>
      <c r="K5" s="251"/>
      <c r="L5" s="252"/>
    </row>
    <row r="6" spans="1:12" ht="20.100000000000001" customHeight="1">
      <c r="A6" s="230" t="s">
        <v>44</v>
      </c>
      <c r="B6" s="231"/>
      <c r="C6" s="70"/>
      <c r="D6" s="69"/>
      <c r="E6" s="69"/>
      <c r="F6" s="69"/>
      <c r="G6" s="71"/>
      <c r="H6" s="72"/>
      <c r="I6" s="100"/>
      <c r="J6" s="247" t="s">
        <v>45</v>
      </c>
      <c r="K6" s="248"/>
      <c r="L6" s="249"/>
    </row>
    <row r="7" spans="1:12" ht="20.100000000000001" customHeight="1">
      <c r="A7" s="73"/>
      <c r="B7" s="235" t="s">
        <v>46</v>
      </c>
      <c r="C7" s="236"/>
      <c r="D7" s="235"/>
      <c r="E7" s="235"/>
      <c r="F7" s="235"/>
      <c r="G7" s="237"/>
      <c r="H7" s="236"/>
      <c r="I7" s="238"/>
      <c r="J7" s="247" t="s">
        <v>47</v>
      </c>
      <c r="K7" s="248"/>
      <c r="L7" s="249"/>
    </row>
    <row r="8" spans="1:12" ht="21.75" customHeight="1">
      <c r="A8" s="73"/>
      <c r="B8" s="283" t="s">
        <v>48</v>
      </c>
      <c r="C8" s="284"/>
      <c r="D8" s="283"/>
      <c r="E8" s="283"/>
      <c r="F8" s="244"/>
      <c r="G8" s="245"/>
      <c r="H8" s="285"/>
      <c r="I8" s="246"/>
      <c r="J8" s="247" t="s">
        <v>49</v>
      </c>
      <c r="K8" s="248"/>
      <c r="L8" s="249"/>
    </row>
    <row r="9" spans="1:12" ht="24" customHeight="1">
      <c r="A9" s="73"/>
      <c r="B9" s="244"/>
      <c r="C9" s="285"/>
      <c r="D9" s="244"/>
      <c r="E9" s="244"/>
      <c r="F9" s="244"/>
      <c r="G9" s="245"/>
      <c r="H9" s="285"/>
      <c r="I9" s="246"/>
      <c r="J9" s="247" t="s">
        <v>50</v>
      </c>
      <c r="K9" s="248"/>
      <c r="L9" s="249"/>
    </row>
    <row r="10" spans="1:12" ht="20.100000000000001" customHeight="1">
      <c r="A10" s="73"/>
      <c r="B10" s="253" t="s">
        <v>51</v>
      </c>
      <c r="C10" s="254"/>
      <c r="D10" s="253"/>
      <c r="E10" s="253"/>
      <c r="F10" s="253"/>
      <c r="G10" s="255"/>
      <c r="H10" s="254"/>
      <c r="I10" s="256"/>
      <c r="J10" s="250" t="s">
        <v>52</v>
      </c>
      <c r="K10" s="251"/>
      <c r="L10" s="252"/>
    </row>
    <row r="11" spans="1:12" ht="20.100000000000001" customHeight="1">
      <c r="A11" s="80"/>
      <c r="B11" s="81" t="s">
        <v>53</v>
      </c>
      <c r="C11" s="82"/>
      <c r="D11" s="81"/>
      <c r="E11" s="81"/>
      <c r="F11" s="83"/>
      <c r="G11" s="84"/>
      <c r="H11" s="85"/>
      <c r="I11" s="101"/>
      <c r="J11" s="250" t="s">
        <v>54</v>
      </c>
      <c r="K11" s="251"/>
      <c r="L11" s="252"/>
    </row>
    <row r="12" spans="1:12" ht="30" customHeight="1">
      <c r="A12" s="257" t="s">
        <v>55</v>
      </c>
      <c r="B12" s="258"/>
      <c r="C12" s="259"/>
      <c r="D12" s="258"/>
      <c r="E12" s="258"/>
      <c r="F12" s="258"/>
      <c r="G12" s="260"/>
      <c r="H12" s="261"/>
      <c r="I12" s="262"/>
      <c r="J12" s="263"/>
      <c r="K12" s="264"/>
      <c r="L12" s="265"/>
    </row>
    <row r="13" spans="1:12" s="65" customFormat="1" ht="26.25" customHeight="1">
      <c r="A13" s="271" t="s">
        <v>11</v>
      </c>
      <c r="B13" s="266" t="s">
        <v>56</v>
      </c>
      <c r="C13" s="267"/>
      <c r="D13" s="267"/>
      <c r="E13" s="267"/>
      <c r="F13" s="268"/>
      <c r="G13" s="273" t="s">
        <v>57</v>
      </c>
      <c r="H13" s="275" t="s">
        <v>58</v>
      </c>
      <c r="I13" s="273" t="s">
        <v>13</v>
      </c>
      <c r="J13" s="277" t="s">
        <v>14</v>
      </c>
      <c r="K13" s="279" t="s">
        <v>16</v>
      </c>
      <c r="L13" s="281" t="s">
        <v>17</v>
      </c>
    </row>
    <row r="14" spans="1:12" s="65" customFormat="1" ht="33" customHeight="1">
      <c r="A14" s="272"/>
      <c r="B14" s="18" t="s">
        <v>59</v>
      </c>
      <c r="C14" s="18" t="s">
        <v>60</v>
      </c>
      <c r="D14" s="18" t="s">
        <v>61</v>
      </c>
      <c r="E14" s="18" t="s">
        <v>62</v>
      </c>
      <c r="F14" s="18" t="s">
        <v>20</v>
      </c>
      <c r="G14" s="274"/>
      <c r="H14" s="276"/>
      <c r="I14" s="274"/>
      <c r="J14" s="278"/>
      <c r="K14" s="280"/>
      <c r="L14" s="282"/>
    </row>
    <row r="15" spans="1:12" s="66" customFormat="1" ht="27" customHeight="1">
      <c r="A15" s="86">
        <v>1</v>
      </c>
      <c r="B15" s="87" t="s">
        <v>2</v>
      </c>
      <c r="C15" s="87">
        <v>1</v>
      </c>
      <c r="D15" s="22" t="s">
        <v>21</v>
      </c>
      <c r="E15" s="88" t="s">
        <v>63</v>
      </c>
      <c r="F15" s="23" t="s">
        <v>22</v>
      </c>
      <c r="G15" s="26">
        <v>39269099</v>
      </c>
      <c r="H15" s="89" t="s">
        <v>24</v>
      </c>
      <c r="I15" s="26">
        <v>2</v>
      </c>
      <c r="J15" s="25" t="s">
        <v>23</v>
      </c>
      <c r="K15" s="102">
        <v>10</v>
      </c>
      <c r="L15" s="103">
        <f>K15*I15</f>
        <v>20</v>
      </c>
    </row>
    <row r="16" spans="1:12" s="2" customFormat="1" ht="22.05" customHeight="1">
      <c r="A16" s="269" t="s">
        <v>25</v>
      </c>
      <c r="B16" s="270"/>
      <c r="C16" s="270"/>
      <c r="D16" s="270"/>
      <c r="E16" s="270"/>
      <c r="F16" s="270"/>
      <c r="G16" s="270"/>
      <c r="H16" s="270"/>
      <c r="I16" s="104">
        <f>SUM(I15:I15)</f>
        <v>2</v>
      </c>
      <c r="J16" s="105"/>
      <c r="K16" s="106"/>
      <c r="L16" s="107">
        <f>SUM(L15:L15)</f>
        <v>20</v>
      </c>
    </row>
    <row r="17" spans="1:12" ht="24" customHeight="1">
      <c r="A17" s="90"/>
      <c r="B17" s="91"/>
      <c r="C17" s="92"/>
      <c r="D17" s="91"/>
      <c r="E17" s="91"/>
      <c r="F17" s="91"/>
      <c r="I17" s="108"/>
      <c r="J17" s="109"/>
      <c r="K17" s="110"/>
      <c r="L17" s="111"/>
    </row>
    <row r="18" spans="1:12" ht="18">
      <c r="A18" s="93"/>
      <c r="H18" s="94"/>
      <c r="I18" s="94"/>
      <c r="J18" s="94"/>
      <c r="K18" s="112" t="s">
        <v>64</v>
      </c>
      <c r="L18" s="113"/>
    </row>
    <row r="19" spans="1:12" ht="18">
      <c r="A19" s="93"/>
      <c r="I19" s="33"/>
      <c r="J19" s="114"/>
      <c r="K19" s="115"/>
      <c r="L19" s="111"/>
    </row>
    <row r="20" spans="1:12" ht="18">
      <c r="A20" s="93"/>
      <c r="I20" s="33"/>
      <c r="J20" s="114"/>
      <c r="K20" s="115"/>
      <c r="L20" s="111"/>
    </row>
    <row r="21" spans="1:12" ht="18">
      <c r="A21" s="93"/>
      <c r="I21" s="33"/>
      <c r="J21" s="114"/>
      <c r="K21" s="115"/>
      <c r="L21" s="111"/>
    </row>
    <row r="22" spans="1:12" ht="18">
      <c r="A22" s="93"/>
      <c r="I22" s="33"/>
      <c r="J22" s="114"/>
      <c r="K22" s="115"/>
      <c r="L22" s="111"/>
    </row>
    <row r="23" spans="1:12" ht="18">
      <c r="A23" s="95"/>
      <c r="B23" s="96"/>
      <c r="C23" s="97"/>
      <c r="D23" s="96"/>
      <c r="E23" s="96"/>
      <c r="F23" s="96"/>
      <c r="G23" s="36"/>
      <c r="H23" s="97"/>
      <c r="I23" s="116"/>
      <c r="J23" s="117"/>
      <c r="K23" s="118"/>
      <c r="L23" s="119"/>
    </row>
  </sheetData>
  <mergeCells count="30">
    <mergeCell ref="A16:H16"/>
    <mergeCell ref="A13:A14"/>
    <mergeCell ref="G13:G14"/>
    <mergeCell ref="H13:H14"/>
    <mergeCell ref="I13:I14"/>
    <mergeCell ref="J11:L11"/>
    <mergeCell ref="A12:F12"/>
    <mergeCell ref="G12:I12"/>
    <mergeCell ref="J12:L12"/>
    <mergeCell ref="B13:F13"/>
    <mergeCell ref="J13:J14"/>
    <mergeCell ref="K13:K14"/>
    <mergeCell ref="L13:L14"/>
    <mergeCell ref="B7:I7"/>
    <mergeCell ref="J7:L7"/>
    <mergeCell ref="J8:L8"/>
    <mergeCell ref="J9:L9"/>
    <mergeCell ref="B10:I10"/>
    <mergeCell ref="J10:L10"/>
    <mergeCell ref="B8:I9"/>
    <mergeCell ref="B4:I4"/>
    <mergeCell ref="J4:L4"/>
    <mergeCell ref="J5:L5"/>
    <mergeCell ref="A6:B6"/>
    <mergeCell ref="J6:L6"/>
    <mergeCell ref="A1:L1"/>
    <mergeCell ref="A2:B2"/>
    <mergeCell ref="J2:L2"/>
    <mergeCell ref="B3:I3"/>
    <mergeCell ref="J3:L3"/>
  </mergeCells>
  <printOptions horizontalCentered="1"/>
  <pageMargins left="1.8749999999999999E-2" right="1.8749999999999999E-2" top="0.34930555555555598" bottom="0.75138888888888899" header="0.23888888888888901" footer="0.297916666666667"/>
  <pageSetup paperSize="9" orientation="portrait"/>
  <headerFooter>
    <oddFooter>&amp;C&amp;P/&amp;N</oddFooter>
  </headerFooter>
  <rowBreaks count="1" manualBreakCount="1">
    <brk id="23" max="16383" man="1"/>
  </rowBreaks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L25"/>
  <sheetViews>
    <sheetView workbookViewId="0">
      <selection activeCell="F18" sqref="F18:L18"/>
    </sheetView>
  </sheetViews>
  <sheetFormatPr defaultColWidth="9" defaultRowHeight="14.4"/>
  <cols>
    <col min="1" max="1" width="5.109375" style="3" customWidth="1"/>
    <col min="2" max="2" width="12.44140625" style="3" customWidth="1"/>
    <col min="3" max="3" width="8.44140625" style="4" customWidth="1"/>
    <col min="4" max="4" width="18.109375" style="3" customWidth="1"/>
    <col min="5" max="5" width="34" style="3" customWidth="1"/>
    <col min="6" max="6" width="11.88671875" style="5" customWidth="1"/>
    <col min="7" max="7" width="9.109375" style="4" customWidth="1"/>
    <col min="8" max="8" width="7.44140625" style="3" customWidth="1"/>
    <col min="9" max="9" width="10" style="6" customWidth="1"/>
    <col min="10" max="10" width="9.77734375" style="7" customWidth="1"/>
    <col min="11" max="11" width="9.88671875" style="7" customWidth="1"/>
    <col min="12" max="12" width="4.44140625" style="8" customWidth="1"/>
    <col min="13" max="16384" width="9" style="3"/>
  </cols>
  <sheetData>
    <row r="1" spans="1:12" ht="27" customHeight="1">
      <c r="A1" s="286" t="s">
        <v>65</v>
      </c>
      <c r="B1" s="287"/>
      <c r="C1" s="287"/>
      <c r="D1" s="287"/>
      <c r="E1" s="287"/>
      <c r="F1" s="288"/>
      <c r="G1" s="287"/>
      <c r="H1" s="287"/>
      <c r="I1" s="289"/>
      <c r="J1" s="290"/>
      <c r="K1" s="290"/>
      <c r="L1" s="291"/>
    </row>
    <row r="2" spans="1:12" ht="15" customHeight="1">
      <c r="A2" s="292" t="s">
        <v>37</v>
      </c>
      <c r="B2" s="293"/>
      <c r="C2" s="294"/>
      <c r="D2" s="293"/>
      <c r="E2" s="293"/>
      <c r="F2" s="295"/>
      <c r="G2" s="9"/>
      <c r="H2" s="10"/>
      <c r="I2" s="38" t="str">
        <f>'Invoice '!J2</f>
        <v>INVOICE NO:MDL240034</v>
      </c>
      <c r="J2" s="39"/>
      <c r="K2" s="39"/>
      <c r="L2" s="40"/>
    </row>
    <row r="3" spans="1:12" ht="15" customHeight="1">
      <c r="A3" s="11"/>
      <c r="B3" s="296" t="str">
        <f>'Invoice '!B3</f>
        <v>NAME: MOONPO DEVELOPMENT LIMITED</v>
      </c>
      <c r="C3" s="237"/>
      <c r="D3" s="296"/>
      <c r="E3" s="296"/>
      <c r="F3" s="297"/>
      <c r="H3" s="2"/>
      <c r="I3" s="41" t="str">
        <f>'Invoice '!J3</f>
        <v>INVOICE DATE:2024-10-28</v>
      </c>
      <c r="J3" s="42"/>
      <c r="K3" s="42"/>
      <c r="L3" s="43"/>
    </row>
    <row r="4" spans="1:12" ht="15" customHeight="1">
      <c r="A4" s="11"/>
      <c r="B4" s="298" t="str">
        <f>'Invoice '!B4</f>
        <v>ADDRESS: FLAT 4-7, 1/F, WAH YIU INDUSTRIAL CENTRE, 30-32 AU PUI WAN STREET, FO TAN, SHATIN, N.T, HONGKONG</v>
      </c>
      <c r="C4" s="299"/>
      <c r="D4" s="298"/>
      <c r="E4" s="298"/>
      <c r="F4" s="300"/>
      <c r="H4" s="12"/>
      <c r="I4" s="41" t="str">
        <f>'Invoice '!J4</f>
        <v>PO NO:below list</v>
      </c>
      <c r="J4" s="44"/>
      <c r="K4" s="44"/>
      <c r="L4" s="45"/>
    </row>
    <row r="5" spans="1:12" ht="15" customHeight="1">
      <c r="A5" s="13"/>
      <c r="B5" s="301" t="str">
        <f>'Invoice '!B5</f>
        <v>TELL: +852-26888777</v>
      </c>
      <c r="C5" s="302"/>
      <c r="D5" s="301"/>
      <c r="E5" s="301"/>
      <c r="F5" s="303"/>
      <c r="H5" s="2"/>
      <c r="I5" s="41" t="str">
        <f>'Invoice '!J6</f>
        <v>DELIVERY TERMS: CPT NOIBAI</v>
      </c>
      <c r="J5" s="42"/>
      <c r="K5" s="42"/>
      <c r="L5" s="43"/>
    </row>
    <row r="6" spans="1:12" ht="15" customHeight="1">
      <c r="A6" s="292" t="s">
        <v>44</v>
      </c>
      <c r="B6" s="293"/>
      <c r="C6" s="294"/>
      <c r="D6" s="293"/>
      <c r="E6" s="293"/>
      <c r="F6" s="295"/>
      <c r="G6" s="9"/>
      <c r="H6" s="14"/>
      <c r="I6" s="41" t="str">
        <f>'Invoice '!J7</f>
        <v>PORT OF LOADING: SHENZHEN</v>
      </c>
      <c r="J6" s="42"/>
      <c r="K6" s="42"/>
      <c r="L6" s="43"/>
    </row>
    <row r="7" spans="1:12" ht="15" customHeight="1">
      <c r="A7" s="11"/>
      <c r="B7" s="296" t="str">
        <f>'Invoice '!B7</f>
        <v>NAME: MOONPO DEVELOPMENT(VIETNAM) LIMITED</v>
      </c>
      <c r="C7" s="237"/>
      <c r="D7" s="296"/>
      <c r="E7" s="296"/>
      <c r="F7" s="297"/>
      <c r="H7" s="2"/>
      <c r="I7" s="41" t="str">
        <f>'Invoice '!J8</f>
        <v>PORT OF DISCHARGE: NOIBAI</v>
      </c>
      <c r="J7" s="42"/>
      <c r="K7" s="42"/>
      <c r="L7" s="43"/>
    </row>
    <row r="8" spans="1:12" ht="15" customHeight="1">
      <c r="A8" s="11"/>
      <c r="B8" s="298" t="str">
        <f>'Invoice '!B8</f>
        <v>ADDRESS: LOT CN-01, DONG VAN IV INDUSTRIAL ZONE, DAI CUONG COMMUNE, KIM BANG DISTRICT, HA NAM PROVINCE, VIETNAM</v>
      </c>
      <c r="C8" s="299"/>
      <c r="D8" s="298"/>
      <c r="E8" s="298"/>
      <c r="F8" s="300"/>
      <c r="H8" s="2"/>
      <c r="I8" s="41" t="str">
        <f>'Invoice '!J9</f>
        <v>PORT OF TRANSIT:</v>
      </c>
      <c r="J8" s="42"/>
      <c r="K8" s="42"/>
      <c r="L8" s="43"/>
    </row>
    <row r="9" spans="1:12" ht="15" customHeight="1">
      <c r="A9" s="11"/>
      <c r="B9" s="298"/>
      <c r="C9" s="299"/>
      <c r="D9" s="298"/>
      <c r="E9" s="298"/>
      <c r="F9" s="300"/>
      <c r="H9" s="2"/>
      <c r="I9" s="41" t="str">
        <f>'Invoice '!J10</f>
        <v>ETD POL:2024-10-28</v>
      </c>
      <c r="J9" s="42"/>
      <c r="K9" s="42"/>
      <c r="L9" s="43"/>
    </row>
    <row r="10" spans="1:12" ht="15" customHeight="1">
      <c r="A10" s="11"/>
      <c r="B10" s="304" t="str">
        <f>'Invoice '!B10</f>
        <v>TAX NUMBER: 0700834811</v>
      </c>
      <c r="C10" s="255"/>
      <c r="D10" s="304"/>
      <c r="E10" s="304"/>
      <c r="F10" s="305"/>
      <c r="H10" s="2"/>
      <c r="I10" s="41" t="str">
        <f>'Invoice '!J11</f>
        <v>ETA POD:2024-11-01</v>
      </c>
      <c r="J10" s="42"/>
      <c r="K10" s="42"/>
      <c r="L10" s="43"/>
    </row>
    <row r="11" spans="1:12" ht="15" customHeight="1">
      <c r="A11" s="11"/>
      <c r="B11" s="304" t="str">
        <f>'Invoice '!B11</f>
        <v>TELL:+84 904 923 783, Email: vttdung@moonpo.com</v>
      </c>
      <c r="C11" s="255"/>
      <c r="D11" s="304"/>
      <c r="E11" s="304"/>
      <c r="F11" s="305"/>
      <c r="I11" s="46"/>
      <c r="J11" s="47"/>
      <c r="K11" s="47"/>
      <c r="L11" s="48"/>
    </row>
    <row r="12" spans="1:12" ht="15" customHeight="1">
      <c r="A12" s="306" t="s">
        <v>55</v>
      </c>
      <c r="B12" s="307"/>
      <c r="C12" s="308"/>
      <c r="D12" s="307"/>
      <c r="E12" s="307"/>
      <c r="F12" s="309"/>
      <c r="G12" s="9"/>
      <c r="H12" s="16"/>
      <c r="I12" s="49"/>
      <c r="J12" s="50"/>
      <c r="K12" s="50"/>
      <c r="L12" s="51"/>
    </row>
    <row r="13" spans="1:12">
      <c r="A13" s="320" t="s">
        <v>11</v>
      </c>
      <c r="B13" s="310" t="s">
        <v>56</v>
      </c>
      <c r="C13" s="311"/>
      <c r="D13" s="311"/>
      <c r="E13" s="312"/>
      <c r="F13" s="322" t="s">
        <v>66</v>
      </c>
      <c r="G13" s="324" t="s">
        <v>14</v>
      </c>
      <c r="H13" s="273" t="s">
        <v>67</v>
      </c>
      <c r="I13" s="324" t="s">
        <v>68</v>
      </c>
      <c r="J13" s="324" t="s">
        <v>69</v>
      </c>
      <c r="K13" s="325" t="s">
        <v>70</v>
      </c>
      <c r="L13" s="326" t="s">
        <v>71</v>
      </c>
    </row>
    <row r="14" spans="1:12" ht="28.8">
      <c r="A14" s="321"/>
      <c r="B14" s="18" t="s">
        <v>59</v>
      </c>
      <c r="C14" s="18" t="s">
        <v>72</v>
      </c>
      <c r="D14" s="15" t="s">
        <v>73</v>
      </c>
      <c r="E14" s="19" t="s">
        <v>20</v>
      </c>
      <c r="F14" s="323"/>
      <c r="G14" s="323"/>
      <c r="H14" s="274"/>
      <c r="I14" s="323"/>
      <c r="J14" s="323"/>
      <c r="K14" s="325"/>
      <c r="L14" s="327"/>
    </row>
    <row r="15" spans="1:12" s="1" customFormat="1" ht="22.05" customHeight="1">
      <c r="A15" s="20">
        <v>1</v>
      </c>
      <c r="B15" s="21" t="s">
        <v>2</v>
      </c>
      <c r="C15" s="21">
        <v>1</v>
      </c>
      <c r="D15" s="22" t="s">
        <v>21</v>
      </c>
      <c r="E15" s="23" t="s">
        <v>22</v>
      </c>
      <c r="F15" s="24">
        <v>2</v>
      </c>
      <c r="G15" s="25" t="s">
        <v>23</v>
      </c>
      <c r="H15" s="26" t="s">
        <v>74</v>
      </c>
      <c r="I15" s="52" t="s">
        <v>74</v>
      </c>
      <c r="J15" s="24">
        <v>0.2</v>
      </c>
      <c r="K15" s="52">
        <v>0.3</v>
      </c>
      <c r="L15" s="53"/>
    </row>
    <row r="16" spans="1:12" s="2" customFormat="1" ht="18" customHeight="1">
      <c r="A16" s="313" t="s">
        <v>25</v>
      </c>
      <c r="B16" s="314"/>
      <c r="C16" s="314"/>
      <c r="D16" s="314"/>
      <c r="E16" s="314"/>
      <c r="F16" s="27">
        <f>SUM(F15:F15)</f>
        <v>2</v>
      </c>
      <c r="G16" s="28"/>
      <c r="H16" s="29"/>
      <c r="I16" s="54"/>
      <c r="J16" s="55">
        <f>SUM(J15:J15)</f>
        <v>0.2</v>
      </c>
      <c r="K16" s="56">
        <f>SUM(K15:K15)</f>
        <v>0.3</v>
      </c>
      <c r="L16" s="57"/>
    </row>
    <row r="17" spans="1:12" ht="18" customHeight="1">
      <c r="A17" s="30" t="s">
        <v>75</v>
      </c>
      <c r="G17" s="31"/>
      <c r="H17" s="31"/>
      <c r="I17" s="58"/>
      <c r="J17" s="59"/>
      <c r="K17" s="59"/>
      <c r="L17" s="60"/>
    </row>
    <row r="18" spans="1:12" ht="18" customHeight="1">
      <c r="A18" s="32"/>
      <c r="F18" s="315" t="s">
        <v>76</v>
      </c>
      <c r="G18" s="316"/>
      <c r="H18" s="316"/>
      <c r="I18" s="317"/>
      <c r="J18" s="318"/>
      <c r="K18" s="318"/>
      <c r="L18" s="319"/>
    </row>
    <row r="19" spans="1:12">
      <c r="A19" s="32"/>
      <c r="L19" s="61"/>
    </row>
    <row r="20" spans="1:12">
      <c r="A20" s="32"/>
      <c r="L20" s="61"/>
    </row>
    <row r="21" spans="1:12">
      <c r="A21" s="32"/>
      <c r="L21" s="61"/>
    </row>
    <row r="22" spans="1:12">
      <c r="A22" s="32"/>
      <c r="L22" s="61"/>
    </row>
    <row r="23" spans="1:12">
      <c r="A23" s="32"/>
      <c r="L23" s="61"/>
    </row>
    <row r="24" spans="1:12">
      <c r="A24" s="32"/>
      <c r="L24" s="61"/>
    </row>
    <row r="25" spans="1:12">
      <c r="A25" s="34"/>
      <c r="B25" s="35"/>
      <c r="C25" s="36"/>
      <c r="D25" s="35"/>
      <c r="E25" s="35"/>
      <c r="F25" s="37"/>
      <c r="G25" s="36"/>
      <c r="H25" s="35"/>
      <c r="I25" s="62"/>
      <c r="J25" s="63"/>
      <c r="K25" s="63"/>
      <c r="L25" s="64"/>
    </row>
  </sheetData>
  <mergeCells count="22">
    <mergeCell ref="B13:E13"/>
    <mergeCell ref="A16:E16"/>
    <mergeCell ref="F18:L18"/>
    <mergeCell ref="A13:A14"/>
    <mergeCell ref="F13:F14"/>
    <mergeCell ref="G13:G14"/>
    <mergeCell ref="H13:H14"/>
    <mergeCell ref="I13:I14"/>
    <mergeCell ref="J13:J14"/>
    <mergeCell ref="K13:K14"/>
    <mergeCell ref="L13:L14"/>
    <mergeCell ref="A6:F6"/>
    <mergeCell ref="B7:F7"/>
    <mergeCell ref="B10:F10"/>
    <mergeCell ref="B11:F11"/>
    <mergeCell ref="A12:F12"/>
    <mergeCell ref="B8:F9"/>
    <mergeCell ref="A1:L1"/>
    <mergeCell ref="A2:F2"/>
    <mergeCell ref="B3:F3"/>
    <mergeCell ref="B4:F4"/>
    <mergeCell ref="B5:F5"/>
  </mergeCells>
  <pageMargins left="0.15902777777777799" right="0.20902777777777801" top="0.38888888888888901" bottom="0.50902777777777797" header="0.3" footer="0.3"/>
  <pageSetup paperSize="9" scale="61" orientation="portrait"/>
  <headerFooter>
    <oddFooter>&amp;C&amp;P/&amp;N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2">
    <comment s:ref="J9" rgbClr="0F9A4C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H90131</vt:lpstr>
      <vt:lpstr>Invoice </vt:lpstr>
      <vt:lpstr>Packing list </vt:lpstr>
      <vt:lpstr>'Invoice '!Print_Area</vt:lpstr>
      <vt:lpstr>'Packing list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</dc:creator>
  <cp:lastModifiedBy>Lê Thị Liên</cp:lastModifiedBy>
  <dcterms:created xsi:type="dcterms:W3CDTF">2023-09-05T01:47:00Z</dcterms:created>
  <dcterms:modified xsi:type="dcterms:W3CDTF">2024-10-31T08:00:29Z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A6319EFC6652419CBF49F367396E2660</vt:lpwstr>
  </property>
  <property fmtid="{D5CDD505-2E9C-101B-9397-08002B2CF9AE}" pid="3" name="KSOProductBuildVer">
    <vt:lpwstr>2052-11.1.0.11636</vt:lpwstr>
  </property>
</Properties>
</file>