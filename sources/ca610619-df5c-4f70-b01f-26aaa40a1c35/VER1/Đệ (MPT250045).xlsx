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Y:\current data\1 DUNG + MAI\3- IM-EX-2025\THÁNG 07\4.IMPORT OVERSEA\25.MPT250045-MPT250046-TS250022\"/>
    </mc:Choice>
  </mc:AlternateContent>
  <xr:revisionPtr revIDLastSave="0" documentId="8_{D67B7A92-B9D1-499B-99B2-69CF0DABCAFB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Sheet1" sheetId="1" r:id="rId1"/>
  </sheets>
  <definedNames>
    <definedName name="_xlnm._FilterDatabase" localSheetId="0" hidden="1">Sheet1!$A$1:$AJ$1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2" i="1"/>
</calcChain>
</file>

<file path=xl/sharedStrings.xml><?xml version="1.0" encoding="utf-8"?>
<sst xmlns="http://schemas.openxmlformats.org/spreadsheetml/2006/main" count="1143" uniqueCount="330">
  <si>
    <t>STT</t>
  </si>
  <si>
    <t>Mã hàng</t>
  </si>
  <si>
    <t>Tên hàng (mô tả chi tiết)</t>
  </si>
  <si>
    <t>Mã HS</t>
  </si>
  <si>
    <t>Xuất xứ</t>
  </si>
  <si>
    <t>Lượng</t>
  </si>
  <si>
    <t>Đơn vị tính</t>
  </si>
  <si>
    <t>Lượng 2</t>
  </si>
  <si>
    <t>Đơn vị tính 2</t>
  </si>
  <si>
    <t>Đơn giá hóa đơn</t>
  </si>
  <si>
    <t>Trị giá hóa đơn</t>
  </si>
  <si>
    <t>Đơn giá tính thuế</t>
  </si>
  <si>
    <t>Trị giá tính thuế</t>
  </si>
  <si>
    <t>Mã biểu thuế NK</t>
  </si>
  <si>
    <t>TS NK(%)</t>
  </si>
  <si>
    <t>Tiền thuế NK</t>
  </si>
  <si>
    <t>Mã miễn/ giảm/ không chịu thuế nhập khẩu</t>
  </si>
  <si>
    <t>Số tiền giảm thuế nhập khẩu</t>
  </si>
  <si>
    <t>Mã biếu thuế TTĐB</t>
  </si>
  <si>
    <t>Thuế suất TTĐB(%)</t>
  </si>
  <si>
    <t>Tiền thuế TTĐB</t>
  </si>
  <si>
    <t>Mã miễn giảm thuế TTĐB</t>
  </si>
  <si>
    <t>Số tiền miễn giảm thuế TTĐB</t>
  </si>
  <si>
    <t>Mã biểu thuế môi trường</t>
  </si>
  <si>
    <t>Thuế suất môi trường</t>
  </si>
  <si>
    <t>Tiền thuế môi trường</t>
  </si>
  <si>
    <t>Mã miễn giảm thuế môi trường</t>
  </si>
  <si>
    <t>Số tiền miễn giảm thuế môi trường</t>
  </si>
  <si>
    <t>Mã biểu thuế VAT</t>
  </si>
  <si>
    <t>Thuế suất VAT(%)</t>
  </si>
  <si>
    <t>Tiền thuế VAT</t>
  </si>
  <si>
    <t>Mã miễn giảm thuế VAT</t>
  </si>
  <si>
    <t>Số tiền miễn giảm thuế VAT</t>
  </si>
  <si>
    <t>100-12018-02-00</t>
  </si>
  <si>
    <t>Bản mạch in 4 lớp, kt: 52x24mm (PCB MAIN L4 FR4 1.6 OSP 52x24 UM-ONE-MK2B),sd sx lắp ráp sp của n/máy.Hàng mới 100%</t>
  </si>
  <si>
    <t>85340030</t>
  </si>
  <si>
    <t>CN</t>
  </si>
  <si>
    <t>PCE</t>
  </si>
  <si>
    <t xml:space="preserve">PCE </t>
  </si>
  <si>
    <t>B30</t>
  </si>
  <si>
    <t>XNK32</t>
  </si>
  <si>
    <t>V</t>
  </si>
  <si>
    <t>VK130</t>
  </si>
  <si>
    <t>100-19001-01-00</t>
  </si>
  <si>
    <t>Bảng mạch in điện tử hai mặt, kt: 79.72x48mm (PCB MAIN L2 FR4 1.2 GP 79.72x48 UHADO-16),sd sx lắp ráp sp của n/máy.Hàng mới 100%</t>
  </si>
  <si>
    <t>85340020</t>
  </si>
  <si>
    <t>100-21008-03-00</t>
  </si>
  <si>
    <t>bản mạch in 1 mặt,kt: 12x12mm (PCB TACT L1 FR1 1.6 OSP 12x12 BOP IT EXTREME),sd sx lắp ráp sp của n/máy.Hàng mới 100%</t>
  </si>
  <si>
    <t>85340010</t>
  </si>
  <si>
    <t>100-22017-01-00</t>
  </si>
  <si>
    <t>Bản mạch in 1 mặt,kt: 25x46mm, (PCB MAIN L1 FR1 1.6 OSP 25x46 BOP IT),sd sx lắp ráp sp của n/máy.Hàng mới 100%</t>
  </si>
  <si>
    <t>100-22017-02-00</t>
  </si>
  <si>
    <t>Bản mạch in 1 mặt,kt: 10x12mm (PCB PULL L1 FR1 1.6 OSP 10x12 BOP IT),sd sx lắp ráp sp của n/máy.Hàng mới 100%</t>
  </si>
  <si>
    <t>100-22017-03-00</t>
  </si>
  <si>
    <t>Bản mạch in 1 mặt,kt: 12x18mm, (PCB Twist L1 FR1 1.6 OSP 12x18 BOP IT),sd sx lắp ráp sp của n/máy.Hàng mới 100%</t>
  </si>
  <si>
    <t>100-22018-01-00</t>
  </si>
  <si>
    <t>Bản mạch in 1 mặt,kt: 30x45mm (PCB MAIN L1 FR1 1.6 OSP+ C 30x45 SIMON SPRING R),sd sx lắp ráp sp của n/máy.Hàng mới 100%</t>
  </si>
  <si>
    <t>100-22018-02-00</t>
  </si>
  <si>
    <t>Bản mạch in hai mặt,kt: 27x15mm (PCB LED L2 FR4 1.6 OSP+C 27x15 SIMON SPRING R),sd sx lắp ráp sp của n/máy.Hàng mới 100%</t>
  </si>
  <si>
    <t>100-22018-04-00</t>
  </si>
  <si>
    <t>Bản mạch in 1 mặt,kt: 15x10mm, (PCB PTC L1 FR1 1.6 OSP 15x10 SIMON SPRING R),sd sx lắp ráp sp của n/máy.Hàng mới 100%</t>
  </si>
  <si>
    <t>101-22005-01-00</t>
  </si>
  <si>
    <t>Bản mạch in 4 lớp,kt: 203x82mm (PCB MAIN L6 FR4 1.6 OSP 203x82 GOKEYS3-MU (VN)),sd sx lắp ráp sp của n/máy.Hàng mới 100%</t>
  </si>
  <si>
    <t>101-23017-01-00</t>
  </si>
  <si>
    <t>Bản mạch in hai mặt 6 lớp, kt: 175x80mm (PCB MAIN L6 FR4 1.6 OSP 175x80 GO-88PX),sd sx lắp ráp sp của n/máy.Hàng mới 100%</t>
  </si>
  <si>
    <t>101-24011-01-01</t>
  </si>
  <si>
    <t>Bản mạch in hai mặt 6 lớp, kt: 154x80.9mm (PCB MAIN SHEET L6 FR4 1.0 OSP 154x80.9 KTN-GO2),sd sx lắp ráp sp của n/máy.Hàng mới 100%</t>
  </si>
  <si>
    <t>101-24014-01-00</t>
  </si>
  <si>
    <t>Bản mạch in hai mặt 4 lớp, kt: 133x98mm (PCB MAIN L6 FR4 1.6 OSP +C 133x98 GOMIXERST),sd sx lắp ráp sp của n/máy.Hàng mới 100%</t>
  </si>
  <si>
    <t>251-51027-44-42</t>
  </si>
  <si>
    <t>Tụ gốm 1 lớp, cố định (CAP CER 0.1uF 20% Y5V 50V 5.0MM),sd sx lắp ráp sp của n/máy.Hàng mới 100%</t>
  </si>
  <si>
    <t>85322300</t>
  </si>
  <si>
    <t>262-74710-10-22</t>
  </si>
  <si>
    <t>Tụ tantan (tantalum) (CAP SMD TAN 47uF 10% 10V 3528 CASE B TANCAP),sd sx lắp ráp sp của n/máy.Hàng mới 100%</t>
  </si>
  <si>
    <t>85322100</t>
  </si>
  <si>
    <t>291-02122-01-00</t>
  </si>
  <si>
    <t>Cuộn cảm cố định kiểu con chip (IND LEAD 3.3uH 10% 3R3K 3x8),sd sx lắp ráp sp của n/máy.Hàng mới 100%</t>
  </si>
  <si>
    <t>85045020</t>
  </si>
  <si>
    <t>291-11041-01-00</t>
  </si>
  <si>
    <t>Cuộn cảm cố định kiểu con chip (IND SMD 10uH 20% WQPC RH1207-100M-98D MAGIC),sd sx lắp ráp sp của n/máy.Hàng mới 100%</t>
  </si>
  <si>
    <t>291-19012-01-00</t>
  </si>
  <si>
    <t>Cuộn cảm cố định kiểu con chip (IND LEAD 6.8uH 20% 3x8 ),sd sx lắp ráp sp của n/máy.Hàng mới 100%</t>
  </si>
  <si>
    <t>311-24001-01-00</t>
  </si>
  <si>
    <t>Điện trở biến đổi, cs &lt;20W (THR SMD SENSOR NTC 10KOHM 1% 0402 TDK),sd sx lắp ráp sp của n/máy.Hàng mới 100%</t>
  </si>
  <si>
    <t>85333100</t>
  </si>
  <si>
    <t>331-23002-01-00</t>
  </si>
  <si>
    <t>Đi-ốt phát quang (LED SMD R/B/G 1.0x1.0MM HSMF-C116 BROADCOM),sd sx lắp ráp sp của n/máy.Hàng mới 100%</t>
  </si>
  <si>
    <t>85414100</t>
  </si>
  <si>
    <t>TW</t>
  </si>
  <si>
    <t>331-23017-03-00</t>
  </si>
  <si>
    <t>Đi-ốt phát quang (LED SMD WHT 3014 DFN2 ASMD-CWG7-NX7B2 BROADCOM),sd sx lắp ráp sp của n/máy.Hàng mới 100%</t>
  </si>
  <si>
    <t>381-15014-04-00</t>
  </si>
  <si>
    <t>Mạch điện tử(IC)tích hợp, chức năng/tính năng: Bộ nhớ (IC FLASH GD25Q16ETIGR SOP8 16MB GIGADEVICE) sd sx lắp ráp nhiệt kế.Hàng mới 100%</t>
  </si>
  <si>
    <t>85423200</t>
  </si>
  <si>
    <t>400-21008-01-00</t>
  </si>
  <si>
    <t>Bộ phận đóng ngắt mạch điện (công tắc),dùng cho dòng điện &lt;16A (SWH LEAD TACT TC-A0604G4 .5-160 FUYON 12V),sd sx lắp ráp sp của n/máy.Hàng mới 100%</t>
  </si>
  <si>
    <t>85365033</t>
  </si>
  <si>
    <t>412-19007-01-00</t>
  </si>
  <si>
    <t>Loa,không có vỏ,có dải tần số &lt; 3.400 Hz,đ/k &lt; 50mm,dùng trong viễn thông, (P SPK MYLAR 36 16OHM 0.2 5W Y095F210R016-1553 BE),sd sx lắp ráp sp của n/máy.Hàng mới 100%</t>
  </si>
  <si>
    <t>85182920</t>
  </si>
  <si>
    <t>412-22008-01-00</t>
  </si>
  <si>
    <t>Loa,không có vỏ,tần số &lt;3.40kHz,đ.kính 36mm,dùng trong viễn thông (P SPK MYLAR 36 16OHM 0.2 5W FB36095LF16R1-E2 CPC),sd sx lắp ráp sp của n/máy.Hàng mới 100%</t>
  </si>
  <si>
    <t>412-22017-01-00</t>
  </si>
  <si>
    <t>Loa,không có vỏ,có dải tần số &lt; 3.400 Hz,đ/k &lt; 50mm,dùng trong viễn thông, (SPK MYLAR 40 8OHM 0.5W BEM40Y105F210H008-299 BE),sd sx lắp ráp sp của n/máy.Hàng mới 100%</t>
  </si>
  <si>
    <t>412-23012-01-00</t>
  </si>
  <si>
    <t>Loa,không có vỏ,tần số &lt;3.40kHz,đ.kính 29mm,dùng trong viễn thông (P SPK MYLAR 29 8R 0.25W HB-FB29095LF08F1-G1 CPC),sd sx lắp ráp sp của n/máy.Hàng mới 100%</t>
  </si>
  <si>
    <t>431-33002-20-03</t>
  </si>
  <si>
    <t>Dây điện,không có đầu nối,lõi đồng,dùng cho viễn thông,đ/áp &lt;80V,cách điện bằng plastic,dài: 570mm (P WIRE ROLL PVC CU RED 20AWG 21LBS 19E),sd sx lắp ráp sp của n/máy.Hàng mới 100%</t>
  </si>
  <si>
    <t>85444913</t>
  </si>
  <si>
    <t>MTR</t>
  </si>
  <si>
    <t xml:space="preserve">MTR </t>
  </si>
  <si>
    <t>442-22005-13-00</t>
  </si>
  <si>
    <t>Dây điện có đầu nối, dài 510mm, điện áp &gt; 80V, dùng cho viễn thông, cách điện bằng plastic (WIRE ASSY 3P P=2.0 28AWG UL1061 510MM W/PHR-3),sd sx lắp ráp sp của n/máy.Hàng mới 100%</t>
  </si>
  <si>
    <t>85444223</t>
  </si>
  <si>
    <t>447-07009-28-01</t>
  </si>
  <si>
    <t>Dây điện lõi đồng bọc nhựa plastic,dài 70mm,không lắp đầu nối,điện áp 30V,dùng cho viễn thông (P WIRE PVC STR CU 28AWG WHT 3+70+3),sd sx lắp ráp sp của n/máy.Hàng mới 100%</t>
  </si>
  <si>
    <t>447-16009-26-01</t>
  </si>
  <si>
    <t>Dây điện lõi đồng bọc nhựa plastic,dài 160mm,không lắp đầu nối,điện áp 30V,dùng cho viễn thông (P WIRE PVC STR CU 26AWG WHT 3+160+3),sd sx lắp ráp sp của n/máy.Hàng mới 100%</t>
  </si>
  <si>
    <t>447-57002-20-01</t>
  </si>
  <si>
    <t>Dây điện lõi đồng bọc nhựa plastic,dài 40mm,không lắp đầu nối,điện áp 30V,dùng cho viễn thông (P WIRE PVC STR CU 20AWG RED 3+570+3 21LBS 19E),sd sx lắp ráp sp của n/máy.Hàng mới 100%</t>
  </si>
  <si>
    <t>455-22018-01-00</t>
  </si>
  <si>
    <t>Dây cáp tín hiệu, không có đầu nối,dùng cho viễn thông,điện áp &lt;80V,cách điện bằng plastic,dài: 45mm (CA FLAT PE 4WAY 28AWG P=2.54 3+45+3),sd sx lắp ráp sp của n/máy.Hàng mới 100%</t>
  </si>
  <si>
    <t>455-22018-02-00</t>
  </si>
  <si>
    <t>Dây cáp tín hiệu, không có đầu nối,dùng cho viễn thông,điện áp &lt;80V,cách điện bằng plastic,dài: 70mm (CA FLAT PE 4WAY 28AWG P=2.54 3+70+3),sd sx lắp ráp sp của n/máy.Hàng mới 100%</t>
  </si>
  <si>
    <t>501-24002-01-00</t>
  </si>
  <si>
    <t>Ốc vít bằng thép,đã ren,kt(đk ngoài/dài): M2.3x4mm,không có đai ốc,không có vòng đệm (SCREW ST/B PAWH MS PHIL BLZN M2.3x 04 -7MM 19E),sd sx lắp ráp sp của n/máy.Hàng mới 100%</t>
  </si>
  <si>
    <t>73181510</t>
  </si>
  <si>
    <t xml:space="preserve">KGM </t>
  </si>
  <si>
    <t>501-97057-01-04</t>
  </si>
  <si>
    <t>Ốc vít bằng thép,đã ren,kt(đk ngoài/dài): M2.6x6mm,không có đai ốc,không có vòng đệm (SCREW M/C PAN X-SL M2.6X6 MS BLUE ZN 19E),sd sx lắp ráp sp của n/máy.Hàng mới 100%</t>
  </si>
  <si>
    <t>501-97057-01-05</t>
  </si>
  <si>
    <t>Ốc vít bằng thép,đã ren,kt(đk ngoài/dài): M2.6x6mm,không có đai ốc,không có vòng đệm (SCREW M/C FLAT PHIL BLZN M2.6x 6 1022 19E),sd sx lắp ráp sp của n/máy.Hàng mới 100%</t>
  </si>
  <si>
    <t>502-85216-30-12</t>
  </si>
  <si>
    <t>Ốc vít bằng thép,đã ren,kt(đk ngoài/dài): M3x12mm,không có đai ốc,không có vòng đệm (SCREW TAPT-P BIND PHIL MS BZN M3x12),sd sx lắp ráp sp của n/máy.Hàng mới 100%</t>
  </si>
  <si>
    <t>503-42218-17-06</t>
  </si>
  <si>
    <t>Ốc vít bằng thép,đã ren,kt(đk ngoài/dài): M1.7x6mm,không có đai ốc,không có vòng đệm (SCREW ST/B PAN PHIL MS BLZN M1.7x6),sd sx lắp ráp sp của n/máy.Hàng mới 100%</t>
  </si>
  <si>
    <t>503-42218-23-06</t>
  </si>
  <si>
    <t>Ốc vít bằng thép,đã ren,kt(đk ngoài/dài): M2.3x6mm,không có đai ốc,không có vòng đệm (SCREW ST/B PAN PHIL MS BLZN M2.3x6),sd sx lắp ráp sp của n/máy.Hàng mới 100%</t>
  </si>
  <si>
    <t>506-42218-23-06</t>
  </si>
  <si>
    <t>Ốc vít bằng thép,đã ren,kt(đk ngoài/dài): M2.3x6mm,không có đai ốc,không có vòng đệm (SCREW ST/B PAN PHIL MS BLZN M2.3 06 19E),sd sx lắp ráp sp của n/máy.Hàng mới 100%</t>
  </si>
  <si>
    <t>506-42218-26-08</t>
  </si>
  <si>
    <t>Ốc vít bằng thép,đã ren,kt(đk ngoài/dài): M2.6x8mm,không có đai ốc,không có vòng đệm (SCREW ST/B PAN PHIL MS BLZN M2.6 08 19E),sd sx lắp ráp sp của n/máy.Hàng mới 100%</t>
  </si>
  <si>
    <t>529-13260-50-20</t>
  </si>
  <si>
    <t>Đai ốc thép,đã ren,dùng cho bu lông có đường kính ngoài của thân 2.6mm (NUT HEX MS-WZN 2.6x5x2),sd sx lắp ráp sp của n/máy.Hàng mới 100%</t>
  </si>
  <si>
    <t>73181610</t>
  </si>
  <si>
    <t>600-11040-02-00</t>
  </si>
  <si>
    <t>Đầu cắm kết nối (phích cắm) - đầu cắm tín hiệu hình tiếng, dùng cho dòng điện 3.5A (CONN M HEADER 15P P=2 B15B-PH-K-S (LF)(SN) JST),sd sx lắp ráp sp của n/máy.Hàng mới 100%</t>
  </si>
  <si>
    <t>85366924</t>
  </si>
  <si>
    <t>ID</t>
  </si>
  <si>
    <t>630-02122-02-00</t>
  </si>
  <si>
    <t>Màng lót nhựa EPE, KT: 300X245MM (SHT EPE FOAM 1.0300X245MM) sd đóng gói vận chuyển sp của nhà máy.Hàng mới 100%</t>
  </si>
  <si>
    <t>39201090</t>
  </si>
  <si>
    <t>630-22004-01-00</t>
  </si>
  <si>
    <t>Miếng bọt biển bằng nhựa, loại xốp, kt: 840x200mm (SHT EPE FOAM T0.5 840x200),sd sx lắp ráp sp của n/máy.Hàng mới 100%</t>
  </si>
  <si>
    <t>39211999</t>
  </si>
  <si>
    <t>638-02122-02-00</t>
  </si>
  <si>
    <t>Màng PE 0.05 300X245MM (SHT PE 0.05 300X245MM )sd đóng gói vận chuyển sp của n/máy.Hàng mới 100%</t>
  </si>
  <si>
    <t>39201019</t>
  </si>
  <si>
    <t>701-1010230</t>
  </si>
  <si>
    <t>Hạt nhựa ABS,dạng nguyên sinh (RESIN ABS 750SW 19E )dùng để sản xuất các bộ phận linh kiện nhựa cho sx lắp ráp sp của nhà máy.Hàng mới 100%</t>
  </si>
  <si>
    <t>39033060</t>
  </si>
  <si>
    <t>KR</t>
  </si>
  <si>
    <t>KGM</t>
  </si>
  <si>
    <t>703-BLK</t>
  </si>
  <si>
    <t>Chế phẩm màu (PIGMENT MASTERBATCHH BLACK G8 19E) tp CAS 9002-88-4; 40%CAS 1333-86-4: 45% và tp khác sd để trộn với hạt nhựa đúc linh kiện tạo màu cho sp.Hàng mới 100%</t>
  </si>
  <si>
    <t>32050000</t>
  </si>
  <si>
    <t>710-22004-21-01</t>
  </si>
  <si>
    <t>Cột nhựa (PLC CENTER PLATE A PL AE-BRISA),sd sx lắp ráp sp của n/máy.Hàng mới 100%</t>
  </si>
  <si>
    <t>39269099</t>
  </si>
  <si>
    <t>710-22004-22-01</t>
  </si>
  <si>
    <t>Cột nhựa (PLC CENTER PLATE B PL AE-BRISA),sd sx lắp ráp sp của n/máy.Hàng mới 100%</t>
  </si>
  <si>
    <t>710-22004-23-01</t>
  </si>
  <si>
    <t>Cột nhựa (PLC CENTER PLATE C PL AE-BRISA),sd sx lắp ráp sp của n/máy.Hàng mới 100%</t>
  </si>
  <si>
    <t>710-22004-24-01</t>
  </si>
  <si>
    <t>Cột nhựa (PLC CENTER PLATE D PL AE-BRISA),sd sx lắp ráp sp của n/máy.Hàng mới 100%</t>
  </si>
  <si>
    <t>710-22004-30-01</t>
  </si>
  <si>
    <t>nút nhựa (PLC A KEY PL AE-BRISA ),sd sx lắp ráp sp của n/máy.Hàng mới 100%</t>
  </si>
  <si>
    <t>710-22004-31-01</t>
  </si>
  <si>
    <t>nút nhựa (PLC C KEY PL AE-BRISA ),sd sx lắp ráp sp của n/máy.Hàng mới 100%</t>
  </si>
  <si>
    <t>710-22004-32-01</t>
  </si>
  <si>
    <t>nút nhựa (PLC D KEY PL AE-BRISA ),sd sx lắp ráp sp của n/máy.Hàng mới 100%</t>
  </si>
  <si>
    <t>710-22004-33-01</t>
  </si>
  <si>
    <t>nút nhựa (PLC G KEY PL AE-BRISA ),sd sx lắp ráp sp của n/máy.Hàng mới 100%</t>
  </si>
  <si>
    <t>710-22004-37-01</t>
  </si>
  <si>
    <t>Nút nhựa (PLC TRILL KEY PL AE-BRISA),sd sx lắp ráp sp của n/máy.Hàng mới 100%</t>
  </si>
  <si>
    <t>710-22004-39-01</t>
  </si>
  <si>
    <t>Nút nhựa (PLC DS KEY PL AE-BRISA ),sd sx lắp ráp sp của n/máy.Hàng mới 100%</t>
  </si>
  <si>
    <t>716-23008-01-00</t>
  </si>
  <si>
    <t>Tấm che phủ bảo vệ màn hình (PLC DISPLAY COVER GX-1 PC),sd sx lắp ráp sp của n/máy.Hàng mới 100%</t>
  </si>
  <si>
    <t>716-24014-01-00</t>
  </si>
  <si>
    <t>Tấm khung bằng nhựa (PLC DISPLAY COVER GOMIXERST PMMA),sd sx lắp ráp sp của n/máy.Hàng mới 100%</t>
  </si>
  <si>
    <t>721-16011-02-00</t>
  </si>
  <si>
    <t>Miếng đệm cao su-miếng chèn,từ cao su lưu hóa,loại không xốp,kt: 30x10mm (RUB FOOT 30x10x2 VR PEDAL FOOT HEEL GT-1),sd sx lắp ráp sp của n/máy.Hàng mới 100%</t>
  </si>
  <si>
    <t>40169390</t>
  </si>
  <si>
    <t>721-16011-03-00</t>
  </si>
  <si>
    <t>Miếng đệm cao su-miếng chèn,từ cao su lưu hóa,loại không xốp,kt: 20x16mm (RUB FOOT 20x16x3 BOTTOM FOOT GT-1),sd sx lắp ráp sp của n/máy.Hàng mới 100%</t>
  </si>
  <si>
    <t>721-17015-01-00</t>
  </si>
  <si>
    <t>Miếng đệm cao su-miếng chèn,từ cao su lưu hóa,loại không xốp,kt: 10x2mm (RUB FOOT 10x2 KTN-MINI ),sd sx lắp ráp sp của n/máy.Hàng mới 100%</t>
  </si>
  <si>
    <t>721-24002-01-00</t>
  </si>
  <si>
    <t>Dây cao su,từ cao su lưu hóa,loại không xốp,kt: 30x1.5x1.5mm (P RUB O-RING 30x1.5x1.5 OP REFRESH 19E),sd sx lắp ráp sp của n/máy.Hàng mới 100%</t>
  </si>
  <si>
    <t>722-05015-02-02</t>
  </si>
  <si>
    <t>Miếng đệm bằng cao su lưu hóa,loại không xốp,kt: 10x10mm (P RUB KEY 10X10H=4.2 CLASSIC SIMON),sd sx lắp ráp sp của n/máy.Hàng mới 100%</t>
  </si>
  <si>
    <t>40169999</t>
  </si>
  <si>
    <t>722-17005-01-00</t>
  </si>
  <si>
    <t>Miếng đệm bằng cao su lưu hóa,loại không xốp,kt: 11x5.9mm (RUB KEY 11X5.9MM MONOPOLY JR),sd sx lắp ráp sp của n/máy.Hàng mới 100%</t>
  </si>
  <si>
    <t>722-18049-01-00</t>
  </si>
  <si>
    <t>Miếng đệm cao su cho bàn phím, từ cao su lưu hóa, loại không xốp (RUB KEYPAD MSK-3P SWITCH 13P-B GO-61P-A),sd sx lắp ráp sp của n/máy.Hàng mới 100%</t>
  </si>
  <si>
    <t>722-23017-01-00</t>
  </si>
  <si>
    <t>Nút điều khiển bằng cao su,từ cao su lưu hoá,loại không xốp. (RUB KEYPAD SWITCH3P GO-88PX),sd sx lắp ráp sp của n/máy.Hàng mới 100%</t>
  </si>
  <si>
    <t>750-24002-03-01</t>
  </si>
  <si>
    <t>Miếng sắt cố định (MET-S METAL PLATE OPERATION REFRESH),sd sx lắp ráp sp của n/máy.Hàng mới 100%</t>
  </si>
  <si>
    <t>73269099</t>
  </si>
  <si>
    <t>752-12061-04-00</t>
  </si>
  <si>
    <t>Lò xo bằng thép,lò xo cuộn (SPRING BATTERY TERMINAL M-CUBE GX),sd sx lắp ráp sp của n/máy.Hàng mới 100%</t>
  </si>
  <si>
    <t>73202090</t>
  </si>
  <si>
    <t>810-31624-20-01</t>
  </si>
  <si>
    <t>Túi nhựa PE,kt: 160x240mm (BAG LDPE 0.04 160x240 R4 W28)sd đóng gói vận chuyển sp của n/máy.Hàng mới 100%</t>
  </si>
  <si>
    <t>39232199</t>
  </si>
  <si>
    <t>M</t>
  </si>
  <si>
    <t>MK100</t>
  </si>
  <si>
    <t>810-40028-30-01</t>
  </si>
  <si>
    <t>Túi nhựa PE,kt: 166x280mm (BAG PE 0.05 166x280 H4 R4 W20)sd đóng gói vận chuyển sp của n/máy.Hàng mới 100%</t>
  </si>
  <si>
    <t>810-40612-00-01</t>
  </si>
  <si>
    <t>Túi nhựa PE,kt: 60x120mm (BAG PE 0.05 60X120 ZIP LOCK)sd đóng gói vận chuyển sp của n/máy.Hàng mới 100%</t>
  </si>
  <si>
    <t>810-40613-00-01</t>
  </si>
  <si>
    <t>Túi nhựa PE,kt: 60x130mm (BAG LDPE 0.05 60x130 ZIP LOCK)sd đóng gói vận chuyển sp của n/máy.Hàng mới 100%</t>
  </si>
  <si>
    <t>819-11034-01-00</t>
  </si>
  <si>
    <t>Túi nhựa PE, kt: 520x675mm (BAG EPE FOAM T0.5 520x675 HD0.01)sd đóng gói vận chuyển sp của n/máy.Hàng mới 100%</t>
  </si>
  <si>
    <t>821-22004-01-00</t>
  </si>
  <si>
    <t>Thùng carton bằng giấy có sóng,kt: 880x220x152mm (CTN INNER (1) AE-BRISA )dùng đóng gói vận chuyển sp của n/máy.Hàng mới 100%</t>
  </si>
  <si>
    <t>48191000</t>
  </si>
  <si>
    <t>822-20016-02-00</t>
  </si>
  <si>
    <t>Thùng carton bằng giấy có sóng, kt: 538x278x342mm (CTN OUTER 0/1 VN CUBE-ST2)dùng đóng gói vận chuyển sp của n/máy.Hàng mới 100%</t>
  </si>
  <si>
    <t>822-22004-01-00</t>
  </si>
  <si>
    <t>Thùng carton bằng giấy có sóng,kt: 900x466x348mm (CTN OUTER 1/4 PACKING CASE AE-BRISA)dùng đóng gói vận chuyển sp của n/máy.Hàng mới 100%</t>
  </si>
  <si>
    <t>822-22005-02-00</t>
  </si>
  <si>
    <t>Thùng carton bằng giấy có sóng,kt: 612x136x254mm, (CTN OUTER 0/1 MRGKS3/5 )dùng đóng gói vận chuyển sp của n/máy.Hàng mới 100%</t>
  </si>
  <si>
    <t>822-24014-01-00</t>
  </si>
  <si>
    <t>Thùng carton bằng giấy có sóng,kt: 560x168x232mm (CTN OUTER 0/5 PACKING CASE GOMIXERST)dùng đóng gói vận chuyển sp của n/máy.Hàng mới 100%</t>
  </si>
  <si>
    <t>823-11020-01-00</t>
  </si>
  <si>
    <t>Tấm lót bằng giấy có sóng,kt: 492x438mm, (CTN SPACER GA-FC ),sd sx lắp ráp sp của n/máy.Hàng mới 100%</t>
  </si>
  <si>
    <t>48081000</t>
  </si>
  <si>
    <t>824-22004-01-00</t>
  </si>
  <si>
    <t>Tấm lót bằng giấy có sóng,kt: 870x126mm, (CTN EGG CRATED X AE-BRISA),sd sx lắp ráp sp của n/máy.Hàng mới 100%</t>
  </si>
  <si>
    <t>824-22004-03-00</t>
  </si>
  <si>
    <t>Tấm lót bằng giấy có sóng,kt: 210x142mm, (CTN EGG CRATED Z AE-BRISA),sd sx lắp ráp sp của n/máy.Hàng mới 100%</t>
  </si>
  <si>
    <t>824-22005-01-00</t>
  </si>
  <si>
    <t>Tấm lót bằng giấy có sóng,kt: 598x224mm, (CTN EGG CRATED X MRGKS3/5),sd sx lắp ráp sp của n/máy.Hàng mới 100%</t>
  </si>
  <si>
    <t>824-22005-02-00</t>
  </si>
  <si>
    <t>Tấm lót bằng giấy có sóng,kt: 125x224mm, (CTN EGG CRATED Y MRGKS3/5),sd sx lắp ráp sp của n/máy.Hàng mới 100%</t>
  </si>
  <si>
    <t>834-20016-01-00</t>
  </si>
  <si>
    <t>Miếng lót nhựa EPE, loại xốp (EPE PAD L CUBE-ST2 ),sd sx lắp ráp sp của n/máy.Hàng mới 100%</t>
  </si>
  <si>
    <t>834-20016-02-00</t>
  </si>
  <si>
    <t>Miếng lót nhựa EPE, loại xốp (EPE PAD R CUBE-ST2 ),sd sx lắp ráp sp của n/máy.Hàng mới 100%</t>
  </si>
  <si>
    <t>836-20016-02-00</t>
  </si>
  <si>
    <t>Tấm lót bằng giấy có sóng,kt: 650x518mm (G/B SPACER ADAPTOR PAD VN CUBE-ST2RB),sd sx lắp ráp sp của n/máy.Hàng mới 100%</t>
  </si>
  <si>
    <t>836-23017-01-00</t>
  </si>
  <si>
    <t>Thùng carton bằng giấy có sóng,kt: 524x50x330mm, (G/B SPACER MUSIC REST GO-88PX)dùng đóng gói vận chuyển sp của n/máy.Hàng mới 100%</t>
  </si>
  <si>
    <t>836-23017-03-00</t>
  </si>
  <si>
    <t>Thùng carton bằng giấy có sóng,kt: 340x156x72mm, (G/B SPACER ADAPTOR GO-88PX)dùng đóng gói vận chuyển sp của n/máy.Hàng mới 100%</t>
  </si>
  <si>
    <t>843-20016-02-00</t>
  </si>
  <si>
    <t>Nhãn giấy đã in (LBL PRT POP CUBE-ST2 )dùng cho bộ phận đóng gói gắn thẻ sp của nhà máy.Hàng mới 100%</t>
  </si>
  <si>
    <t>48211090</t>
  </si>
  <si>
    <t>881-02122-06-01</t>
  </si>
  <si>
    <t>Mô tơ điện một chiều loại nhỏ 3V,0.16A (MOTOR SFE-130-15158-3 8+DV+EC ROHSA SCFMOTOR),sd sx lắp ráp sp của n/máy.Hàng mới 100%</t>
  </si>
  <si>
    <t>85011022</t>
  </si>
  <si>
    <t>887-23002-01-00</t>
  </si>
  <si>
    <t>Mạch điện tử (IC) tích hợp,chức năng/tính năng: đ.vị xử lý và đ.vị điều khiển kết hợp với mạch logic (MODULE PCBA 234MHz BLE-MIDI MODULE ATS2853)dùng sx lắp ráp TB thu thanh.Mới 100%</t>
  </si>
  <si>
    <t>85423100</t>
  </si>
  <si>
    <t>Bản mạch in bốn lớp</t>
  </si>
  <si>
    <t>Bảng mạch in điện tử hai mặt</t>
  </si>
  <si>
    <t>bản mạch in 1 mặt</t>
  </si>
  <si>
    <t>Bản mạch in 1 mặt</t>
  </si>
  <si>
    <t>Bản mạch in hai mặt</t>
  </si>
  <si>
    <t>Bản mạch in 4 lớp</t>
  </si>
  <si>
    <t xml:space="preserve">Bản mạch in hai mặt  6 lớp </t>
  </si>
  <si>
    <t xml:space="preserve">Bản mạch in hai mặt  4 lớp </t>
  </si>
  <si>
    <t>Tụ gốm 1 lớp, cố định</t>
  </si>
  <si>
    <t>Tụ tantan (tantalum)</t>
  </si>
  <si>
    <t>Cuộn cảm cố định kiểu con chip</t>
  </si>
  <si>
    <t xml:space="preserve">Điện trở biến đổi </t>
  </si>
  <si>
    <t>Đi-ốt phát quang</t>
  </si>
  <si>
    <t>IC tích hợp (bộ nhớ)</t>
  </si>
  <si>
    <t>Bộ  phận đóng ngắt mạch điện (công tắc)</t>
  </si>
  <si>
    <t>Loa, không có vỏ</t>
  </si>
  <si>
    <t>Dây điện không có đầu nối</t>
  </si>
  <si>
    <t>Dây điện có đầu nối</t>
  </si>
  <si>
    <t>Dây cáp tín hiệu, không có đầu nối</t>
  </si>
  <si>
    <t>ốc vít bằng thép</t>
  </si>
  <si>
    <t>Ốc vít bằng thép, đã ren, kích thước M2.6X6</t>
  </si>
  <si>
    <t xml:space="preserve">Ốc vít bằng thép , đã ren. </t>
  </si>
  <si>
    <t>Ốc vít bằng thép, đã ren</t>
  </si>
  <si>
    <t>Đai ốc thép, đã ren</t>
  </si>
  <si>
    <t>Đầu cắm kết nối (phích cắm)</t>
  </si>
  <si>
    <t>Màng lót nhựa EPE, KT: 300X245MM</t>
  </si>
  <si>
    <t xml:space="preserve">Miếng bọt biển bằng nhựa </t>
  </si>
  <si>
    <t xml:space="preserve"> Màng PE 0.05 300X245MM</t>
  </si>
  <si>
    <t>hạt nhựa ABS</t>
  </si>
  <si>
    <t>Chế phẩm màu</t>
  </si>
  <si>
    <t>Cột nhựa</t>
  </si>
  <si>
    <t xml:space="preserve">nút nhựa </t>
  </si>
  <si>
    <t xml:space="preserve">Nút nhựa </t>
  </si>
  <si>
    <t xml:space="preserve">Tấm che phủ bảo vệ màn hình </t>
  </si>
  <si>
    <t xml:space="preserve">Tấm khung bằng nhựa </t>
  </si>
  <si>
    <t>Miếng đệm cao su</t>
  </si>
  <si>
    <t>dây cao su</t>
  </si>
  <si>
    <t>Miếng đệm bằng cao su</t>
  </si>
  <si>
    <t>miếng đệm cao su cho bàn phím</t>
  </si>
  <si>
    <t>Nút điều khiển bằng cao su</t>
  </si>
  <si>
    <t>Miếng sắt cố định</t>
  </si>
  <si>
    <t>Lò xo bằng thép</t>
  </si>
  <si>
    <t>Túi nhựa PE</t>
  </si>
  <si>
    <t xml:space="preserve">Thùng carton bằng giấy </t>
  </si>
  <si>
    <t>Thùng carton bằng giấy có sóng, kt: 538x278x342mm , dùng đóng gói vận chuyển sp của nhà máy. Hàng mới 100%</t>
  </si>
  <si>
    <t xml:space="preserve"> Thùng carton bằng giấy có sóng 900x466x348mm hàng mới 100%</t>
  </si>
  <si>
    <t>822-22005-02-00#&amp;Thùng carton bằng giấy có sóng, kt: 612x136x254mm, dùng cho đóng gói vận chuyển sản phẩm của nhà máy. Hàng mới 100%</t>
  </si>
  <si>
    <t>Thùng carton bằng giấy có sóng 560x168x232mm hàng mới 100%</t>
  </si>
  <si>
    <t>Tấm lót bằng giấy có sóng, KT 438x492mm</t>
  </si>
  <si>
    <t xml:space="preserve"> Tấm lót bằng giấy có sóng 870x126mm hàng mới 100%</t>
  </si>
  <si>
    <t>Tấm lót bằng giấy có sóng 210x142mm hàng mới 100%</t>
  </si>
  <si>
    <t>824-22005-01-00#&amp;Tấm lót bằng giấy có sóng, kt: 598x224mm, dùng cho đóng gói vận chuyển sản phẩm của nhà máy. Hàng mới 100%</t>
  </si>
  <si>
    <t>824-22005-02-00#&amp;Tấm lót bằng giấy có sóng, kt: 125x224mm, dùng cho đóng gói vận chuyển sản phẩm của nhà máy. Hàng mới 100%</t>
  </si>
  <si>
    <t xml:space="preserve">Miếng lót nhựa EPE, </t>
  </si>
  <si>
    <t>Miếng lót nhựa EPE</t>
  </si>
  <si>
    <t>Tấm lót bằng giấy có sóng, kt: 650x518mm , dùng đóng gói vận chuyển sp của nhà máy. Hàng mới 100%</t>
  </si>
  <si>
    <t xml:space="preserve">Nhãn giấy đã in </t>
  </si>
  <si>
    <t>Mô tơ điện một chiều loại nhỏ 3V,0.16A</t>
  </si>
  <si>
    <t>Mạch điện tử tích hợp, mạch logic</t>
  </si>
  <si>
    <t>Thùng carton bằng giấy có sóng 156x74x72mm hàng mới 100%</t>
  </si>
  <si>
    <t>Thùng carton bằng giấy có sóng 524x50x330mm hàng mới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</si>
</sst>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,###,###,##0.0#"/>
    <numFmt numFmtId="165" formatCode="###,###,##0.0#####"/>
    <numFmt numFmtId="166" formatCode="###,###,###,##0.0###"/>
    <numFmt numFmtId="167" formatCode="##0.0#"/>
    <numFmt numFmtId="168" formatCode="###,###,###,##0.0#######"/>
  </numFmts>
  <fonts count="3" x14ac:knownFonts="1">
    <font>
      <sz val="11"/>
      <color theme="1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7" fontId="0" fillId="0" borderId="3" xfId="0" applyNumberFormat="1" applyBorder="1" applyAlignment="1">
      <alignment horizontal="right"/>
    </xf>
    <xf numFmtId="168" fontId="0" fillId="0" borderId="3" xfId="0" applyNumberFormat="1" applyBorder="1" applyAlignment="1">
      <alignment horizontal="right"/>
    </xf>
    <xf numFmtId="49" fontId="0" fillId="0" borderId="3" xfId="0" applyNumberFormat="1" applyBorder="1" applyAlignment="1">
      <alignment horizontal="right"/>
    </xf>
    <xf numFmtId="168" fontId="0" fillId="0" borderId="4" xfId="0" applyNumberFormat="1" applyBorder="1" applyAlignment="1">
      <alignment horizontal="right"/>
    </xf>
    <xf numFmtId="0" fontId="0" fillId="0" borderId="1" xfId="0" applyNumberFormat="1" applyBorder="1" applyAlignment="1">
      <alignment horizontal="left"/>
    </xf>
    <xf numFmtId="0" fontId="0" fillId="0" borderId="3" xfId="0" applyNumberForma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"/>
  <sheetViews>
    <sheetView tabSelected="1" zoomScaleNormal="100" workbookViewId="0">
      <selection activeCell="F13" sqref="F13"/>
    </sheetView>
  </sheetViews>
  <sheetFormatPr defaultRowHeight="14.4" x14ac:dyDescent="0.3"/>
  <cols>
    <col min="1" max="1" width="4.109375" style="1" customWidth="1"/>
    <col min="2" max="2" width="15.33203125" style="1" customWidth="1"/>
    <col min="3" max="3" width="67.88671875" style="1" customWidth="1"/>
    <col min="4" max="4" width="31.44140625" style="1" customWidth="1"/>
    <col min="5" max="5" width="9.109375" style="1" customWidth="1"/>
    <col min="6" max="7" width="10.5546875" style="35" customWidth="1"/>
    <col min="8" max="8" width="8" style="1" customWidth="1"/>
    <col min="9" max="9" width="9.33203125" style="2" customWidth="1"/>
    <col min="10" max="10" width="11.109375" style="1" customWidth="1"/>
    <col min="11" max="11" width="9.33203125" style="2" customWidth="1"/>
    <col min="12" max="12" width="12.5546875" style="1" customWidth="1"/>
    <col min="13" max="13" width="16.109375" style="3" customWidth="1"/>
    <col min="14" max="14" width="14.33203125" style="4" customWidth="1"/>
    <col min="15" max="15" width="16.6640625" style="3" customWidth="1"/>
    <col min="16" max="16" width="14.88671875" style="4" customWidth="1"/>
    <col min="17" max="17" width="16" style="1" customWidth="1"/>
    <col min="18" max="18" width="9.109375" style="5" customWidth="1"/>
    <col min="19" max="19" width="12.5546875" style="4" customWidth="1"/>
    <col min="20" max="20" width="39.5546875" style="1" customWidth="1"/>
    <col min="21" max="21" width="26.109375" style="6" customWidth="1"/>
    <col min="22" max="22" width="18" style="7" customWidth="1"/>
    <col min="23" max="23" width="17.6640625" style="7" customWidth="1"/>
    <col min="24" max="24" width="14.5546875" style="4" customWidth="1"/>
    <col min="25" max="25" width="23.33203125" style="1" customWidth="1"/>
    <col min="26" max="26" width="26.5546875" style="6" customWidth="1"/>
    <col min="27" max="27" width="23.6640625" style="1" customWidth="1"/>
    <col min="28" max="28" width="20.44140625" style="7" customWidth="1"/>
    <col min="29" max="29" width="20.33203125" style="4" customWidth="1"/>
    <col min="30" max="30" width="29" style="1" customWidth="1"/>
    <col min="31" max="31" width="32.33203125" style="6" customWidth="1"/>
    <col min="32" max="32" width="16.6640625" style="1" customWidth="1"/>
    <col min="33" max="33" width="16.44140625" style="7" customWidth="1"/>
    <col min="34" max="34" width="13.33203125" style="4" customWidth="1"/>
    <col min="35" max="35" width="22" style="1" customWidth="1"/>
    <col min="36" max="36" width="25.33203125" style="6" customWidth="1"/>
  </cols>
  <sheetData>
    <row r="1" spans="1:36" x14ac:dyDescent="0.3">
      <c r="A1" s="8" t="s">
        <v>0</v>
      </c>
      <c r="B1" s="8" t="s">
        <v>1</v>
      </c>
      <c r="C1" s="8" t="s">
        <v>2</v>
      </c>
      <c r="D1" s="8"/>
      <c r="E1" s="8" t="s">
        <v>3</v>
      </c>
      <c r="F1" s="8"/>
      <c r="G1" s="8"/>
      <c r="H1" s="8" t="s">
        <v>4</v>
      </c>
      <c r="I1" s="9" t="s">
        <v>5</v>
      </c>
      <c r="J1" s="8" t="s">
        <v>6</v>
      </c>
      <c r="K1" s="9" t="s">
        <v>7</v>
      </c>
      <c r="L1" s="8" t="s">
        <v>8</v>
      </c>
      <c r="M1" s="10" t="s">
        <v>9</v>
      </c>
      <c r="N1" s="11" t="s">
        <v>10</v>
      </c>
      <c r="O1" s="10" t="s">
        <v>11</v>
      </c>
      <c r="P1" s="11" t="s">
        <v>12</v>
      </c>
      <c r="Q1" s="8" t="s">
        <v>13</v>
      </c>
      <c r="R1" s="12" t="s">
        <v>14</v>
      </c>
      <c r="S1" s="11" t="s">
        <v>15</v>
      </c>
      <c r="T1" s="8" t="s">
        <v>16</v>
      </c>
      <c r="U1" s="13" t="s">
        <v>17</v>
      </c>
      <c r="V1" s="8" t="s">
        <v>18</v>
      </c>
      <c r="W1" s="8" t="s">
        <v>19</v>
      </c>
      <c r="X1" s="11" t="s">
        <v>20</v>
      </c>
      <c r="Y1" s="8" t="s">
        <v>21</v>
      </c>
      <c r="Z1" s="13" t="s">
        <v>22</v>
      </c>
      <c r="AA1" s="8" t="s">
        <v>23</v>
      </c>
      <c r="AB1" s="8" t="s">
        <v>24</v>
      </c>
      <c r="AC1" s="11" t="s">
        <v>25</v>
      </c>
      <c r="AD1" s="8" t="s">
        <v>26</v>
      </c>
      <c r="AE1" s="13" t="s">
        <v>27</v>
      </c>
      <c r="AF1" s="8" t="s">
        <v>28</v>
      </c>
      <c r="AG1" s="8" t="s">
        <v>29</v>
      </c>
      <c r="AH1" s="11" t="s">
        <v>30</v>
      </c>
      <c r="AI1" s="8" t="s">
        <v>31</v>
      </c>
      <c r="AJ1" s="14" t="s">
        <v>32</v>
      </c>
    </row>
    <row r="2" spans="1:36" x14ac:dyDescent="0.3">
      <c r="A2" s="31">
        <v>1</v>
      </c>
      <c r="B2" s="15" t="s">
        <v>33</v>
      </c>
      <c r="C2" s="15" t="s">
        <v>34</v>
      </c>
      <c r="D2" s="33" t="s">
        <v>269</v>
      </c>
      <c r="E2" s="15" t="s">
        <v>35</v>
      </c>
      <c r="F2" s="34">
        <v>85340030</v>
      </c>
      <c r="G2" s="34">
        <f>E2-F2</f>
        <v>0</v>
      </c>
      <c r="H2" s="15" t="s">
        <v>36</v>
      </c>
      <c r="I2" s="16">
        <v>4704</v>
      </c>
      <c r="J2" s="15" t="s">
        <v>37</v>
      </c>
      <c r="K2" s="16">
        <v>4704</v>
      </c>
      <c r="L2" s="15" t="s">
        <v>38</v>
      </c>
      <c r="M2" s="17">
        <v>0.1988</v>
      </c>
      <c r="N2" s="18">
        <v>935.15520000000004</v>
      </c>
      <c r="O2" s="17"/>
      <c r="P2" s="18"/>
      <c r="Q2" s="15" t="s">
        <v>39</v>
      </c>
      <c r="R2" s="19">
        <v>0</v>
      </c>
      <c r="S2" s="18"/>
      <c r="T2" s="15" t="s">
        <v>40</v>
      </c>
      <c r="U2" s="20"/>
      <c r="V2" s="21"/>
      <c r="W2" s="21"/>
      <c r="X2" s="18"/>
      <c r="Y2" s="15"/>
      <c r="Z2" s="20"/>
      <c r="AA2" s="15"/>
      <c r="AB2" s="21"/>
      <c r="AC2" s="18"/>
      <c r="AD2" s="15"/>
      <c r="AE2" s="20"/>
      <c r="AF2" s="15" t="s">
        <v>41</v>
      </c>
      <c r="AG2" s="21"/>
      <c r="AH2" s="18"/>
      <c r="AI2" s="15" t="s">
        <v>42</v>
      </c>
      <c r="AJ2" s="22"/>
    </row>
    <row r="3" spans="1:36" x14ac:dyDescent="0.3">
      <c r="A3" s="31">
        <v>2</v>
      </c>
      <c r="B3" s="15" t="s">
        <v>43</v>
      </c>
      <c r="C3" s="15" t="s">
        <v>44</v>
      </c>
      <c r="D3" s="33" t="s">
        <v>270</v>
      </c>
      <c r="E3" s="15" t="s">
        <v>45</v>
      </c>
      <c r="F3" s="34" t="s">
        <v>45</v>
      </c>
      <c r="G3" s="34">
        <f t="shared" ref="G3:G66" si="0">E3-F3</f>
        <v>0</v>
      </c>
      <c r="H3" s="15" t="s">
        <v>36</v>
      </c>
      <c r="I3" s="16">
        <v>3380</v>
      </c>
      <c r="J3" s="15" t="s">
        <v>37</v>
      </c>
      <c r="K3" s="16">
        <v>3380</v>
      </c>
      <c r="L3" s="15" t="s">
        <v>38</v>
      </c>
      <c r="M3" s="17">
        <v>0.46960000000000002</v>
      </c>
      <c r="N3" s="18">
        <v>1587.248</v>
      </c>
      <c r="O3" s="17"/>
      <c r="P3" s="18"/>
      <c r="Q3" s="15" t="s">
        <v>39</v>
      </c>
      <c r="R3" s="19">
        <v>0</v>
      </c>
      <c r="S3" s="18"/>
      <c r="T3" s="15" t="s">
        <v>40</v>
      </c>
      <c r="U3" s="20"/>
      <c r="V3" s="21"/>
      <c r="W3" s="21"/>
      <c r="X3" s="18"/>
      <c r="Y3" s="15"/>
      <c r="Z3" s="20"/>
      <c r="AA3" s="15"/>
      <c r="AB3" s="21"/>
      <c r="AC3" s="18"/>
      <c r="AD3" s="15"/>
      <c r="AE3" s="20"/>
      <c r="AF3" s="15" t="s">
        <v>41</v>
      </c>
      <c r="AG3" s="21"/>
      <c r="AH3" s="18"/>
      <c r="AI3" s="15" t="s">
        <v>42</v>
      </c>
      <c r="AJ3" s="22"/>
    </row>
    <row r="4" spans="1:36" x14ac:dyDescent="0.3">
      <c r="A4" s="31">
        <v>3</v>
      </c>
      <c r="B4" s="15" t="s">
        <v>46</v>
      </c>
      <c r="C4" s="15" t="s">
        <v>47</v>
      </c>
      <c r="D4" s="33" t="s">
        <v>271</v>
      </c>
      <c r="E4" s="15" t="s">
        <v>48</v>
      </c>
      <c r="F4" s="34" t="s">
        <v>48</v>
      </c>
      <c r="G4" s="34">
        <f t="shared" si="0"/>
        <v>0</v>
      </c>
      <c r="H4" s="15" t="s">
        <v>36</v>
      </c>
      <c r="I4" s="16">
        <v>716</v>
      </c>
      <c r="J4" s="15" t="s">
        <v>37</v>
      </c>
      <c r="K4" s="16">
        <v>716</v>
      </c>
      <c r="L4" s="15" t="s">
        <v>38</v>
      </c>
      <c r="M4" s="17">
        <v>1.5100000000000001E-2</v>
      </c>
      <c r="N4" s="18">
        <v>10.8116</v>
      </c>
      <c r="O4" s="17"/>
      <c r="P4" s="18"/>
      <c r="Q4" s="15" t="s">
        <v>39</v>
      </c>
      <c r="R4" s="19">
        <v>0</v>
      </c>
      <c r="S4" s="18"/>
      <c r="T4" s="15" t="s">
        <v>40</v>
      </c>
      <c r="U4" s="20"/>
      <c r="V4" s="21"/>
      <c r="W4" s="21"/>
      <c r="X4" s="18"/>
      <c r="Y4" s="15"/>
      <c r="Z4" s="20"/>
      <c r="AA4" s="15"/>
      <c r="AB4" s="21"/>
      <c r="AC4" s="18"/>
      <c r="AD4" s="15"/>
      <c r="AE4" s="20"/>
      <c r="AF4" s="15" t="s">
        <v>41</v>
      </c>
      <c r="AG4" s="21"/>
      <c r="AH4" s="18"/>
      <c r="AI4" s="15" t="s">
        <v>42</v>
      </c>
      <c r="AJ4" s="22"/>
    </row>
    <row r="5" spans="1:36" x14ac:dyDescent="0.3">
      <c r="A5" s="31">
        <v>4</v>
      </c>
      <c r="B5" s="15" t="s">
        <v>49</v>
      </c>
      <c r="C5" s="15" t="s">
        <v>50</v>
      </c>
      <c r="D5" s="33" t="s">
        <v>272</v>
      </c>
      <c r="E5" s="15" t="s">
        <v>48</v>
      </c>
      <c r="F5" s="34" t="s">
        <v>48</v>
      </c>
      <c r="G5" s="34">
        <f t="shared" si="0"/>
        <v>0</v>
      </c>
      <c r="H5" s="15" t="s">
        <v>36</v>
      </c>
      <c r="I5" s="16">
        <v>72948</v>
      </c>
      <c r="J5" s="15" t="s">
        <v>37</v>
      </c>
      <c r="K5" s="16">
        <v>72948</v>
      </c>
      <c r="L5" s="15" t="s">
        <v>38</v>
      </c>
      <c r="M5" s="17">
        <v>4.9299999999999997E-2</v>
      </c>
      <c r="N5" s="18">
        <v>3596.3364000000001</v>
      </c>
      <c r="O5" s="17"/>
      <c r="P5" s="18"/>
      <c r="Q5" s="15" t="s">
        <v>39</v>
      </c>
      <c r="R5" s="19">
        <v>0</v>
      </c>
      <c r="S5" s="18"/>
      <c r="T5" s="15" t="s">
        <v>40</v>
      </c>
      <c r="U5" s="20"/>
      <c r="V5" s="21"/>
      <c r="W5" s="21"/>
      <c r="X5" s="18"/>
      <c r="Y5" s="15"/>
      <c r="Z5" s="20"/>
      <c r="AA5" s="15"/>
      <c r="AB5" s="21"/>
      <c r="AC5" s="18"/>
      <c r="AD5" s="15"/>
      <c r="AE5" s="20"/>
      <c r="AF5" s="15" t="s">
        <v>41</v>
      </c>
      <c r="AG5" s="21"/>
      <c r="AH5" s="18"/>
      <c r="AI5" s="15" t="s">
        <v>42</v>
      </c>
      <c r="AJ5" s="22"/>
    </row>
    <row r="6" spans="1:36" x14ac:dyDescent="0.3">
      <c r="A6" s="31">
        <v>5</v>
      </c>
      <c r="B6" s="15" t="s">
        <v>51</v>
      </c>
      <c r="C6" s="15" t="s">
        <v>52</v>
      </c>
      <c r="D6" s="33" t="s">
        <v>272</v>
      </c>
      <c r="E6" s="15" t="s">
        <v>48</v>
      </c>
      <c r="F6" s="34" t="s">
        <v>48</v>
      </c>
      <c r="G6" s="34">
        <f t="shared" si="0"/>
        <v>0</v>
      </c>
      <c r="H6" s="15" t="s">
        <v>36</v>
      </c>
      <c r="I6" s="16">
        <v>25024</v>
      </c>
      <c r="J6" s="15" t="s">
        <v>37</v>
      </c>
      <c r="K6" s="16">
        <v>25024</v>
      </c>
      <c r="L6" s="15" t="s">
        <v>38</v>
      </c>
      <c r="M6" s="17">
        <v>1.0699999999999999E-2</v>
      </c>
      <c r="N6" s="18">
        <v>267.7568</v>
      </c>
      <c r="O6" s="17"/>
      <c r="P6" s="18"/>
      <c r="Q6" s="15" t="s">
        <v>39</v>
      </c>
      <c r="R6" s="19">
        <v>0</v>
      </c>
      <c r="S6" s="18"/>
      <c r="T6" s="15" t="s">
        <v>40</v>
      </c>
      <c r="U6" s="20"/>
      <c r="V6" s="21"/>
      <c r="W6" s="21"/>
      <c r="X6" s="18"/>
      <c r="Y6" s="15"/>
      <c r="Z6" s="20"/>
      <c r="AA6" s="15"/>
      <c r="AB6" s="21"/>
      <c r="AC6" s="18"/>
      <c r="AD6" s="15"/>
      <c r="AE6" s="20"/>
      <c r="AF6" s="15" t="s">
        <v>41</v>
      </c>
      <c r="AG6" s="21"/>
      <c r="AH6" s="18"/>
      <c r="AI6" s="15" t="s">
        <v>42</v>
      </c>
      <c r="AJ6" s="22"/>
    </row>
    <row r="7" spans="1:36" x14ac:dyDescent="0.3">
      <c r="A7" s="31">
        <v>6</v>
      </c>
      <c r="B7" s="15" t="s">
        <v>53</v>
      </c>
      <c r="C7" s="15" t="s">
        <v>54</v>
      </c>
      <c r="D7" s="33" t="s">
        <v>272</v>
      </c>
      <c r="E7" s="15" t="s">
        <v>48</v>
      </c>
      <c r="F7" s="34" t="s">
        <v>48</v>
      </c>
      <c r="G7" s="34">
        <f t="shared" si="0"/>
        <v>0</v>
      </c>
      <c r="H7" s="15" t="s">
        <v>36</v>
      </c>
      <c r="I7" s="16">
        <v>55320</v>
      </c>
      <c r="J7" s="15" t="s">
        <v>37</v>
      </c>
      <c r="K7" s="16">
        <v>55320</v>
      </c>
      <c r="L7" s="15" t="s">
        <v>38</v>
      </c>
      <c r="M7" s="17">
        <v>1.3899999999999999E-2</v>
      </c>
      <c r="N7" s="18">
        <v>768.94799999999998</v>
      </c>
      <c r="O7" s="17"/>
      <c r="P7" s="18"/>
      <c r="Q7" s="15" t="s">
        <v>39</v>
      </c>
      <c r="R7" s="19">
        <v>0</v>
      </c>
      <c r="S7" s="18"/>
      <c r="T7" s="15" t="s">
        <v>40</v>
      </c>
      <c r="U7" s="20"/>
      <c r="V7" s="21"/>
      <c r="W7" s="21"/>
      <c r="X7" s="18"/>
      <c r="Y7" s="15"/>
      <c r="Z7" s="20"/>
      <c r="AA7" s="15"/>
      <c r="AB7" s="21"/>
      <c r="AC7" s="18"/>
      <c r="AD7" s="15"/>
      <c r="AE7" s="20"/>
      <c r="AF7" s="15" t="s">
        <v>41</v>
      </c>
      <c r="AG7" s="21"/>
      <c r="AH7" s="18"/>
      <c r="AI7" s="15" t="s">
        <v>42</v>
      </c>
      <c r="AJ7" s="22"/>
    </row>
    <row r="8" spans="1:36" x14ac:dyDescent="0.3">
      <c r="A8" s="31">
        <v>7</v>
      </c>
      <c r="B8" s="15" t="s">
        <v>55</v>
      </c>
      <c r="C8" s="15" t="s">
        <v>56</v>
      </c>
      <c r="D8" s="33" t="s">
        <v>272</v>
      </c>
      <c r="E8" s="15" t="s">
        <v>48</v>
      </c>
      <c r="F8" s="34">
        <v>85340010</v>
      </c>
      <c r="G8" s="34">
        <f t="shared" si="0"/>
        <v>0</v>
      </c>
      <c r="H8" s="15" t="s">
        <v>36</v>
      </c>
      <c r="I8" s="16">
        <v>48296</v>
      </c>
      <c r="J8" s="15" t="s">
        <v>37</v>
      </c>
      <c r="K8" s="16">
        <v>48296</v>
      </c>
      <c r="L8" s="15" t="s">
        <v>38</v>
      </c>
      <c r="M8" s="17">
        <v>6.9500000000000006E-2</v>
      </c>
      <c r="N8" s="18">
        <v>3356.5720000000001</v>
      </c>
      <c r="O8" s="17"/>
      <c r="P8" s="18"/>
      <c r="Q8" s="15" t="s">
        <v>39</v>
      </c>
      <c r="R8" s="19">
        <v>0</v>
      </c>
      <c r="S8" s="18"/>
      <c r="T8" s="15" t="s">
        <v>40</v>
      </c>
      <c r="U8" s="20"/>
      <c r="V8" s="21"/>
      <c r="W8" s="21"/>
      <c r="X8" s="18"/>
      <c r="Y8" s="15"/>
      <c r="Z8" s="20"/>
      <c r="AA8" s="15"/>
      <c r="AB8" s="21"/>
      <c r="AC8" s="18"/>
      <c r="AD8" s="15"/>
      <c r="AE8" s="20"/>
      <c r="AF8" s="15" t="s">
        <v>41</v>
      </c>
      <c r="AG8" s="21"/>
      <c r="AH8" s="18"/>
      <c r="AI8" s="15" t="s">
        <v>42</v>
      </c>
      <c r="AJ8" s="22"/>
    </row>
    <row r="9" spans="1:36" x14ac:dyDescent="0.3">
      <c r="A9" s="31">
        <v>8</v>
      </c>
      <c r="B9" s="15" t="s">
        <v>57</v>
      </c>
      <c r="C9" s="15" t="s">
        <v>58</v>
      </c>
      <c r="D9" s="33" t="s">
        <v>273</v>
      </c>
      <c r="E9" s="15" t="s">
        <v>45</v>
      </c>
      <c r="F9" s="34" t="s">
        <v>45</v>
      </c>
      <c r="G9" s="34">
        <f t="shared" si="0"/>
        <v>0</v>
      </c>
      <c r="H9" s="15" t="s">
        <v>36</v>
      </c>
      <c r="I9" s="16">
        <v>144828</v>
      </c>
      <c r="J9" s="15" t="s">
        <v>37</v>
      </c>
      <c r="K9" s="16">
        <v>144828</v>
      </c>
      <c r="L9" s="15" t="s">
        <v>38</v>
      </c>
      <c r="M9" s="17">
        <v>3.2500000000000001E-2</v>
      </c>
      <c r="N9" s="18">
        <v>4706.91</v>
      </c>
      <c r="O9" s="17"/>
      <c r="P9" s="18"/>
      <c r="Q9" s="15" t="s">
        <v>39</v>
      </c>
      <c r="R9" s="19">
        <v>0</v>
      </c>
      <c r="S9" s="18"/>
      <c r="T9" s="15" t="s">
        <v>40</v>
      </c>
      <c r="U9" s="20"/>
      <c r="V9" s="21"/>
      <c r="W9" s="21"/>
      <c r="X9" s="18"/>
      <c r="Y9" s="15"/>
      <c r="Z9" s="20"/>
      <c r="AA9" s="15"/>
      <c r="AB9" s="21"/>
      <c r="AC9" s="18"/>
      <c r="AD9" s="15"/>
      <c r="AE9" s="20"/>
      <c r="AF9" s="15" t="s">
        <v>41</v>
      </c>
      <c r="AG9" s="21"/>
      <c r="AH9" s="18"/>
      <c r="AI9" s="15" t="s">
        <v>42</v>
      </c>
      <c r="AJ9" s="22"/>
    </row>
    <row r="10" spans="1:36" x14ac:dyDescent="0.3">
      <c r="A10" s="31">
        <v>9</v>
      </c>
      <c r="B10" s="15" t="s">
        <v>59</v>
      </c>
      <c r="C10" s="15" t="s">
        <v>60</v>
      </c>
      <c r="D10" s="33" t="s">
        <v>272</v>
      </c>
      <c r="E10" s="15" t="s">
        <v>48</v>
      </c>
      <c r="F10" s="34" t="s">
        <v>48</v>
      </c>
      <c r="G10" s="34">
        <f t="shared" si="0"/>
        <v>0</v>
      </c>
      <c r="H10" s="15" t="s">
        <v>36</v>
      </c>
      <c r="I10" s="16">
        <v>66720</v>
      </c>
      <c r="J10" s="15" t="s">
        <v>37</v>
      </c>
      <c r="K10" s="16">
        <v>66720</v>
      </c>
      <c r="L10" s="15" t="s">
        <v>38</v>
      </c>
      <c r="M10" s="17">
        <v>8.2000000000000007E-3</v>
      </c>
      <c r="N10" s="18">
        <v>547.10400000000004</v>
      </c>
      <c r="O10" s="17"/>
      <c r="P10" s="18"/>
      <c r="Q10" s="15" t="s">
        <v>39</v>
      </c>
      <c r="R10" s="19">
        <v>0</v>
      </c>
      <c r="S10" s="18"/>
      <c r="T10" s="15" t="s">
        <v>40</v>
      </c>
      <c r="U10" s="20"/>
      <c r="V10" s="21"/>
      <c r="W10" s="21"/>
      <c r="X10" s="18"/>
      <c r="Y10" s="15"/>
      <c r="Z10" s="20"/>
      <c r="AA10" s="15"/>
      <c r="AB10" s="21"/>
      <c r="AC10" s="18"/>
      <c r="AD10" s="15"/>
      <c r="AE10" s="20"/>
      <c r="AF10" s="15" t="s">
        <v>41</v>
      </c>
      <c r="AG10" s="21"/>
      <c r="AH10" s="18"/>
      <c r="AI10" s="15" t="s">
        <v>42</v>
      </c>
      <c r="AJ10" s="22"/>
    </row>
    <row r="11" spans="1:36" x14ac:dyDescent="0.3">
      <c r="A11" s="31">
        <v>10</v>
      </c>
      <c r="B11" s="15" t="s">
        <v>61</v>
      </c>
      <c r="C11" s="15" t="s">
        <v>62</v>
      </c>
      <c r="D11" s="33" t="s">
        <v>274</v>
      </c>
      <c r="E11" s="15" t="s">
        <v>35</v>
      </c>
      <c r="F11" s="34">
        <v>85340030</v>
      </c>
      <c r="G11" s="34">
        <f t="shared" si="0"/>
        <v>0</v>
      </c>
      <c r="H11" s="15" t="s">
        <v>36</v>
      </c>
      <c r="I11" s="16">
        <v>1900</v>
      </c>
      <c r="J11" s="15" t="s">
        <v>37</v>
      </c>
      <c r="K11" s="16">
        <v>1900</v>
      </c>
      <c r="L11" s="15" t="s">
        <v>38</v>
      </c>
      <c r="M11" s="17">
        <v>2.9350000000000001</v>
      </c>
      <c r="N11" s="18">
        <v>5576.5</v>
      </c>
      <c r="O11" s="17"/>
      <c r="P11" s="18"/>
      <c r="Q11" s="15" t="s">
        <v>39</v>
      </c>
      <c r="R11" s="19">
        <v>0</v>
      </c>
      <c r="S11" s="18"/>
      <c r="T11" s="15" t="s">
        <v>40</v>
      </c>
      <c r="U11" s="20"/>
      <c r="V11" s="21"/>
      <c r="W11" s="21"/>
      <c r="X11" s="18"/>
      <c r="Y11" s="15"/>
      <c r="Z11" s="20"/>
      <c r="AA11" s="15"/>
      <c r="AB11" s="21"/>
      <c r="AC11" s="18"/>
      <c r="AD11" s="15"/>
      <c r="AE11" s="20"/>
      <c r="AF11" s="15" t="s">
        <v>41</v>
      </c>
      <c r="AG11" s="21"/>
      <c r="AH11" s="18"/>
      <c r="AI11" s="15" t="s">
        <v>42</v>
      </c>
      <c r="AJ11" s="22"/>
    </row>
    <row r="12" spans="1:36" x14ac:dyDescent="0.3">
      <c r="A12" s="31">
        <v>11</v>
      </c>
      <c r="B12" s="15" t="s">
        <v>63</v>
      </c>
      <c r="C12" s="15" t="s">
        <v>64</v>
      </c>
      <c r="D12" s="33" t="s">
        <v>275</v>
      </c>
      <c r="E12" s="15" t="s">
        <v>35</v>
      </c>
      <c r="F12" s="34">
        <v>85340030</v>
      </c>
      <c r="G12" s="34">
        <f t="shared" si="0"/>
        <v>0</v>
      </c>
      <c r="H12" s="15" t="s">
        <v>36</v>
      </c>
      <c r="I12" s="16">
        <v>1000</v>
      </c>
      <c r="J12" s="15" t="s">
        <v>37</v>
      </c>
      <c r="K12" s="16">
        <v>1000</v>
      </c>
      <c r="L12" s="15" t="s">
        <v>38</v>
      </c>
      <c r="M12" s="17">
        <v>2.8582999999999998</v>
      </c>
      <c r="N12" s="18">
        <v>2858.3</v>
      </c>
      <c r="O12" s="17"/>
      <c r="P12" s="18"/>
      <c r="Q12" s="15" t="s">
        <v>39</v>
      </c>
      <c r="R12" s="19">
        <v>0</v>
      </c>
      <c r="S12" s="18"/>
      <c r="T12" s="15" t="s">
        <v>40</v>
      </c>
      <c r="U12" s="20"/>
      <c r="V12" s="21"/>
      <c r="W12" s="21"/>
      <c r="X12" s="18"/>
      <c r="Y12" s="15"/>
      <c r="Z12" s="20"/>
      <c r="AA12" s="15"/>
      <c r="AB12" s="21"/>
      <c r="AC12" s="18"/>
      <c r="AD12" s="15"/>
      <c r="AE12" s="20"/>
      <c r="AF12" s="15" t="s">
        <v>41</v>
      </c>
      <c r="AG12" s="21"/>
      <c r="AH12" s="18"/>
      <c r="AI12" s="15" t="s">
        <v>42</v>
      </c>
      <c r="AJ12" s="22"/>
    </row>
    <row r="13" spans="1:36" x14ac:dyDescent="0.3">
      <c r="A13" s="31">
        <v>12</v>
      </c>
      <c r="B13" s="15" t="s">
        <v>65</v>
      </c>
      <c r="C13" s="15" t="s">
        <v>66</v>
      </c>
      <c r="D13" s="33" t="s">
        <v>275</v>
      </c>
      <c r="E13" s="15" t="s">
        <v>35</v>
      </c>
      <c r="F13" s="34" t="s">
        <v>35</v>
      </c>
      <c r="G13" s="34">
        <f t="shared" si="0"/>
        <v>0</v>
      </c>
      <c r="H13" s="15" t="s">
        <v>36</v>
      </c>
      <c r="I13" s="16">
        <v>1700</v>
      </c>
      <c r="J13" s="15" t="s">
        <v>37</v>
      </c>
      <c r="K13" s="16">
        <v>1700</v>
      </c>
      <c r="L13" s="15" t="s">
        <v>38</v>
      </c>
      <c r="M13" s="17">
        <v>3.8793000000000002</v>
      </c>
      <c r="N13" s="18">
        <v>6594.81</v>
      </c>
      <c r="O13" s="17"/>
      <c r="P13" s="18"/>
      <c r="Q13" s="15" t="s">
        <v>39</v>
      </c>
      <c r="R13" s="19">
        <v>0</v>
      </c>
      <c r="S13" s="18"/>
      <c r="T13" s="15" t="s">
        <v>40</v>
      </c>
      <c r="U13" s="20"/>
      <c r="V13" s="21"/>
      <c r="W13" s="21"/>
      <c r="X13" s="18"/>
      <c r="Y13" s="15"/>
      <c r="Z13" s="20"/>
      <c r="AA13" s="15"/>
      <c r="AB13" s="21"/>
      <c r="AC13" s="18"/>
      <c r="AD13" s="15"/>
      <c r="AE13" s="20"/>
      <c r="AF13" s="15" t="s">
        <v>41</v>
      </c>
      <c r="AG13" s="21"/>
      <c r="AH13" s="18"/>
      <c r="AI13" s="15" t="s">
        <v>42</v>
      </c>
      <c r="AJ13" s="22"/>
    </row>
    <row r="14" spans="1:36" x14ac:dyDescent="0.3">
      <c r="A14" s="31">
        <v>13</v>
      </c>
      <c r="B14" s="15" t="s">
        <v>67</v>
      </c>
      <c r="C14" s="15" t="s">
        <v>68</v>
      </c>
      <c r="D14" s="33" t="s">
        <v>276</v>
      </c>
      <c r="E14" s="15" t="s">
        <v>35</v>
      </c>
      <c r="F14" s="34" t="s">
        <v>35</v>
      </c>
      <c r="G14" s="34">
        <f t="shared" si="0"/>
        <v>0</v>
      </c>
      <c r="H14" s="15" t="s">
        <v>36</v>
      </c>
      <c r="I14" s="16">
        <v>800</v>
      </c>
      <c r="J14" s="15" t="s">
        <v>37</v>
      </c>
      <c r="K14" s="16">
        <v>800</v>
      </c>
      <c r="L14" s="15" t="s">
        <v>38</v>
      </c>
      <c r="M14" s="17">
        <v>2.5602999999999998</v>
      </c>
      <c r="N14" s="18">
        <v>2048.2399999999998</v>
      </c>
      <c r="O14" s="17"/>
      <c r="P14" s="18"/>
      <c r="Q14" s="15" t="s">
        <v>39</v>
      </c>
      <c r="R14" s="19">
        <v>0</v>
      </c>
      <c r="S14" s="18"/>
      <c r="T14" s="15" t="s">
        <v>40</v>
      </c>
      <c r="U14" s="20"/>
      <c r="V14" s="21"/>
      <c r="W14" s="21"/>
      <c r="X14" s="18"/>
      <c r="Y14" s="15"/>
      <c r="Z14" s="20"/>
      <c r="AA14" s="15"/>
      <c r="AB14" s="21"/>
      <c r="AC14" s="18"/>
      <c r="AD14" s="15"/>
      <c r="AE14" s="20"/>
      <c r="AF14" s="15" t="s">
        <v>41</v>
      </c>
      <c r="AG14" s="21"/>
      <c r="AH14" s="18"/>
      <c r="AI14" s="15" t="s">
        <v>42</v>
      </c>
      <c r="AJ14" s="22"/>
    </row>
    <row r="15" spans="1:36" x14ac:dyDescent="0.3">
      <c r="A15" s="31">
        <v>14</v>
      </c>
      <c r="B15" s="15" t="s">
        <v>69</v>
      </c>
      <c r="C15" s="15" t="s">
        <v>70</v>
      </c>
      <c r="D15" s="33" t="s">
        <v>277</v>
      </c>
      <c r="E15" s="15" t="s">
        <v>71</v>
      </c>
      <c r="F15" s="34">
        <v>85322300</v>
      </c>
      <c r="G15" s="34">
        <f t="shared" si="0"/>
        <v>0</v>
      </c>
      <c r="H15" s="15" t="s">
        <v>36</v>
      </c>
      <c r="I15" s="16">
        <v>90000</v>
      </c>
      <c r="J15" s="15" t="s">
        <v>37</v>
      </c>
      <c r="K15" s="16">
        <v>90000</v>
      </c>
      <c r="L15" s="15" t="s">
        <v>38</v>
      </c>
      <c r="M15" s="17">
        <v>1.15E-2</v>
      </c>
      <c r="N15" s="18">
        <v>1035</v>
      </c>
      <c r="O15" s="17"/>
      <c r="P15" s="18"/>
      <c r="Q15" s="15" t="s">
        <v>39</v>
      </c>
      <c r="R15" s="19">
        <v>0</v>
      </c>
      <c r="S15" s="18"/>
      <c r="T15" s="15" t="s">
        <v>40</v>
      </c>
      <c r="U15" s="20"/>
      <c r="V15" s="21"/>
      <c r="W15" s="21"/>
      <c r="X15" s="18"/>
      <c r="Y15" s="15"/>
      <c r="Z15" s="20"/>
      <c r="AA15" s="15"/>
      <c r="AB15" s="21"/>
      <c r="AC15" s="18"/>
      <c r="AD15" s="15"/>
      <c r="AE15" s="20"/>
      <c r="AF15" s="15" t="s">
        <v>41</v>
      </c>
      <c r="AG15" s="21"/>
      <c r="AH15" s="18"/>
      <c r="AI15" s="15" t="s">
        <v>42</v>
      </c>
      <c r="AJ15" s="22"/>
    </row>
    <row r="16" spans="1:36" x14ac:dyDescent="0.3">
      <c r="A16" s="31">
        <v>15</v>
      </c>
      <c r="B16" s="15" t="s">
        <v>72</v>
      </c>
      <c r="C16" s="15" t="s">
        <v>73</v>
      </c>
      <c r="D16" s="33" t="s">
        <v>278</v>
      </c>
      <c r="E16" s="15" t="s">
        <v>74</v>
      </c>
      <c r="F16" s="34" t="s">
        <v>74</v>
      </c>
      <c r="G16" s="34">
        <f t="shared" si="0"/>
        <v>0</v>
      </c>
      <c r="H16" s="15" t="s">
        <v>36</v>
      </c>
      <c r="I16" s="16">
        <v>4000</v>
      </c>
      <c r="J16" s="15" t="s">
        <v>37</v>
      </c>
      <c r="K16" s="16">
        <v>4000</v>
      </c>
      <c r="L16" s="15" t="s">
        <v>38</v>
      </c>
      <c r="M16" s="17">
        <v>0.1133</v>
      </c>
      <c r="N16" s="18">
        <v>453.2</v>
      </c>
      <c r="O16" s="17"/>
      <c r="P16" s="18"/>
      <c r="Q16" s="15" t="s">
        <v>39</v>
      </c>
      <c r="R16" s="19">
        <v>0</v>
      </c>
      <c r="S16" s="18"/>
      <c r="T16" s="15" t="s">
        <v>40</v>
      </c>
      <c r="U16" s="20"/>
      <c r="V16" s="21"/>
      <c r="W16" s="21"/>
      <c r="X16" s="18"/>
      <c r="Y16" s="15"/>
      <c r="Z16" s="20"/>
      <c r="AA16" s="15"/>
      <c r="AB16" s="21"/>
      <c r="AC16" s="18"/>
      <c r="AD16" s="15"/>
      <c r="AE16" s="20"/>
      <c r="AF16" s="15" t="s">
        <v>41</v>
      </c>
      <c r="AG16" s="21"/>
      <c r="AH16" s="18"/>
      <c r="AI16" s="15" t="s">
        <v>42</v>
      </c>
      <c r="AJ16" s="22"/>
    </row>
    <row r="17" spans="1:36" x14ac:dyDescent="0.3">
      <c r="A17" s="31">
        <v>16</v>
      </c>
      <c r="B17" s="15" t="s">
        <v>75</v>
      </c>
      <c r="C17" s="15" t="s">
        <v>76</v>
      </c>
      <c r="D17" s="33" t="s">
        <v>279</v>
      </c>
      <c r="E17" s="15" t="s">
        <v>77</v>
      </c>
      <c r="F17" s="34">
        <v>85045020</v>
      </c>
      <c r="G17" s="34">
        <f t="shared" si="0"/>
        <v>0</v>
      </c>
      <c r="H17" s="15" t="s">
        <v>36</v>
      </c>
      <c r="I17" s="16">
        <v>42000</v>
      </c>
      <c r="J17" s="15" t="s">
        <v>37</v>
      </c>
      <c r="K17" s="16">
        <v>42000</v>
      </c>
      <c r="L17" s="15" t="s">
        <v>38</v>
      </c>
      <c r="M17" s="17">
        <v>1.5599999999999999E-2</v>
      </c>
      <c r="N17" s="18">
        <v>655.20000000000005</v>
      </c>
      <c r="O17" s="17"/>
      <c r="P17" s="18"/>
      <c r="Q17" s="15" t="s">
        <v>39</v>
      </c>
      <c r="R17" s="19">
        <v>0</v>
      </c>
      <c r="S17" s="18"/>
      <c r="T17" s="15" t="s">
        <v>40</v>
      </c>
      <c r="U17" s="20"/>
      <c r="V17" s="21"/>
      <c r="W17" s="21"/>
      <c r="X17" s="18"/>
      <c r="Y17" s="15"/>
      <c r="Z17" s="20"/>
      <c r="AA17" s="15"/>
      <c r="AB17" s="21"/>
      <c r="AC17" s="18"/>
      <c r="AD17" s="15"/>
      <c r="AE17" s="20"/>
      <c r="AF17" s="15" t="s">
        <v>41</v>
      </c>
      <c r="AG17" s="21"/>
      <c r="AH17" s="18"/>
      <c r="AI17" s="15" t="s">
        <v>42</v>
      </c>
      <c r="AJ17" s="22"/>
    </row>
    <row r="18" spans="1:36" x14ac:dyDescent="0.3">
      <c r="A18" s="31">
        <v>17</v>
      </c>
      <c r="B18" s="15" t="s">
        <v>78</v>
      </c>
      <c r="C18" s="15" t="s">
        <v>79</v>
      </c>
      <c r="D18" s="33" t="s">
        <v>279</v>
      </c>
      <c r="E18" s="15" t="s">
        <v>77</v>
      </c>
      <c r="F18" s="34" t="s">
        <v>77</v>
      </c>
      <c r="G18" s="34">
        <f t="shared" si="0"/>
        <v>0</v>
      </c>
      <c r="H18" s="15" t="s">
        <v>36</v>
      </c>
      <c r="I18" s="16">
        <v>6500</v>
      </c>
      <c r="J18" s="15" t="s">
        <v>37</v>
      </c>
      <c r="K18" s="16">
        <v>6500</v>
      </c>
      <c r="L18" s="15" t="s">
        <v>38</v>
      </c>
      <c r="M18" s="17">
        <v>0.1799</v>
      </c>
      <c r="N18" s="18">
        <v>1169.3499999999999</v>
      </c>
      <c r="O18" s="17"/>
      <c r="P18" s="18"/>
      <c r="Q18" s="15" t="s">
        <v>39</v>
      </c>
      <c r="R18" s="19">
        <v>0</v>
      </c>
      <c r="S18" s="18"/>
      <c r="T18" s="15" t="s">
        <v>40</v>
      </c>
      <c r="U18" s="20"/>
      <c r="V18" s="21"/>
      <c r="W18" s="21"/>
      <c r="X18" s="18"/>
      <c r="Y18" s="15"/>
      <c r="Z18" s="20"/>
      <c r="AA18" s="15"/>
      <c r="AB18" s="21"/>
      <c r="AC18" s="18"/>
      <c r="AD18" s="15"/>
      <c r="AE18" s="20"/>
      <c r="AF18" s="15" t="s">
        <v>41</v>
      </c>
      <c r="AG18" s="21"/>
      <c r="AH18" s="18"/>
      <c r="AI18" s="15" t="s">
        <v>42</v>
      </c>
      <c r="AJ18" s="22"/>
    </row>
    <row r="19" spans="1:36" x14ac:dyDescent="0.3">
      <c r="A19" s="31">
        <v>18</v>
      </c>
      <c r="B19" s="15" t="s">
        <v>80</v>
      </c>
      <c r="C19" s="15" t="s">
        <v>81</v>
      </c>
      <c r="D19" s="33" t="s">
        <v>279</v>
      </c>
      <c r="E19" s="15" t="s">
        <v>77</v>
      </c>
      <c r="F19" s="34" t="s">
        <v>77</v>
      </c>
      <c r="G19" s="34">
        <f t="shared" si="0"/>
        <v>0</v>
      </c>
      <c r="H19" s="15" t="s">
        <v>36</v>
      </c>
      <c r="I19" s="16">
        <v>69000</v>
      </c>
      <c r="J19" s="15" t="s">
        <v>37</v>
      </c>
      <c r="K19" s="16">
        <v>69000</v>
      </c>
      <c r="L19" s="15" t="s">
        <v>38</v>
      </c>
      <c r="M19" s="17">
        <v>1.95E-2</v>
      </c>
      <c r="N19" s="18">
        <v>1345.5</v>
      </c>
      <c r="O19" s="17"/>
      <c r="P19" s="18"/>
      <c r="Q19" s="15" t="s">
        <v>39</v>
      </c>
      <c r="R19" s="19">
        <v>0</v>
      </c>
      <c r="S19" s="18"/>
      <c r="T19" s="15" t="s">
        <v>40</v>
      </c>
      <c r="U19" s="20"/>
      <c r="V19" s="21"/>
      <c r="W19" s="21"/>
      <c r="X19" s="18"/>
      <c r="Y19" s="15"/>
      <c r="Z19" s="20"/>
      <c r="AA19" s="15"/>
      <c r="AB19" s="21"/>
      <c r="AC19" s="18"/>
      <c r="AD19" s="15"/>
      <c r="AE19" s="20"/>
      <c r="AF19" s="15" t="s">
        <v>41</v>
      </c>
      <c r="AG19" s="21"/>
      <c r="AH19" s="18"/>
      <c r="AI19" s="15" t="s">
        <v>42</v>
      </c>
      <c r="AJ19" s="22"/>
    </row>
    <row r="20" spans="1:36" x14ac:dyDescent="0.3">
      <c r="A20" s="31">
        <v>19</v>
      </c>
      <c r="B20" s="15" t="s">
        <v>82</v>
      </c>
      <c r="C20" s="15" t="s">
        <v>83</v>
      </c>
      <c r="D20" s="33" t="s">
        <v>280</v>
      </c>
      <c r="E20" s="15" t="s">
        <v>84</v>
      </c>
      <c r="F20" s="34">
        <v>85333100</v>
      </c>
      <c r="G20" s="34">
        <f t="shared" si="0"/>
        <v>0</v>
      </c>
      <c r="H20" s="15" t="s">
        <v>36</v>
      </c>
      <c r="I20" s="16">
        <v>10000</v>
      </c>
      <c r="J20" s="15" t="s">
        <v>37</v>
      </c>
      <c r="K20" s="16">
        <v>10000</v>
      </c>
      <c r="L20" s="15" t="s">
        <v>38</v>
      </c>
      <c r="M20" s="17">
        <v>1.2999999999999999E-2</v>
      </c>
      <c r="N20" s="18">
        <v>130</v>
      </c>
      <c r="O20" s="17"/>
      <c r="P20" s="18"/>
      <c r="Q20" s="15" t="s">
        <v>39</v>
      </c>
      <c r="R20" s="19">
        <v>0</v>
      </c>
      <c r="S20" s="18"/>
      <c r="T20" s="15" t="s">
        <v>40</v>
      </c>
      <c r="U20" s="20"/>
      <c r="V20" s="21"/>
      <c r="W20" s="21"/>
      <c r="X20" s="18"/>
      <c r="Y20" s="15"/>
      <c r="Z20" s="20"/>
      <c r="AA20" s="15"/>
      <c r="AB20" s="21"/>
      <c r="AC20" s="18"/>
      <c r="AD20" s="15"/>
      <c r="AE20" s="20"/>
      <c r="AF20" s="15" t="s">
        <v>41</v>
      </c>
      <c r="AG20" s="21"/>
      <c r="AH20" s="18"/>
      <c r="AI20" s="15" t="s">
        <v>42</v>
      </c>
      <c r="AJ20" s="22"/>
    </row>
    <row r="21" spans="1:36" x14ac:dyDescent="0.3">
      <c r="A21" s="31">
        <v>20</v>
      </c>
      <c r="B21" s="15" t="s">
        <v>85</v>
      </c>
      <c r="C21" s="15" t="s">
        <v>86</v>
      </c>
      <c r="D21" s="33" t="s">
        <v>281</v>
      </c>
      <c r="E21" s="15" t="s">
        <v>87</v>
      </c>
      <c r="F21" s="34" t="s">
        <v>87</v>
      </c>
      <c r="G21" s="34">
        <f t="shared" si="0"/>
        <v>0</v>
      </c>
      <c r="H21" s="15" t="s">
        <v>88</v>
      </c>
      <c r="I21" s="16">
        <v>4000</v>
      </c>
      <c r="J21" s="15" t="s">
        <v>37</v>
      </c>
      <c r="K21" s="16">
        <v>4000</v>
      </c>
      <c r="L21" s="15" t="s">
        <v>38</v>
      </c>
      <c r="M21" s="17">
        <v>8.72E-2</v>
      </c>
      <c r="N21" s="18">
        <v>348.8</v>
      </c>
      <c r="O21" s="17"/>
      <c r="P21" s="18"/>
      <c r="Q21" s="15" t="s">
        <v>39</v>
      </c>
      <c r="R21" s="19">
        <v>0</v>
      </c>
      <c r="S21" s="18"/>
      <c r="T21" s="15" t="s">
        <v>40</v>
      </c>
      <c r="U21" s="20"/>
      <c r="V21" s="21"/>
      <c r="W21" s="21"/>
      <c r="X21" s="18"/>
      <c r="Y21" s="15"/>
      <c r="Z21" s="20"/>
      <c r="AA21" s="15"/>
      <c r="AB21" s="21"/>
      <c r="AC21" s="18"/>
      <c r="AD21" s="15"/>
      <c r="AE21" s="20"/>
      <c r="AF21" s="15" t="s">
        <v>41</v>
      </c>
      <c r="AG21" s="21"/>
      <c r="AH21" s="18"/>
      <c r="AI21" s="15" t="s">
        <v>42</v>
      </c>
      <c r="AJ21" s="22"/>
    </row>
    <row r="22" spans="1:36" x14ac:dyDescent="0.3">
      <c r="A22" s="31">
        <v>21</v>
      </c>
      <c r="B22" s="15" t="s">
        <v>89</v>
      </c>
      <c r="C22" s="15" t="s">
        <v>90</v>
      </c>
      <c r="D22" s="33" t="s">
        <v>281</v>
      </c>
      <c r="E22" s="15" t="s">
        <v>87</v>
      </c>
      <c r="F22" s="34" t="s">
        <v>87</v>
      </c>
      <c r="G22" s="34">
        <f t="shared" si="0"/>
        <v>0</v>
      </c>
      <c r="H22" s="15" t="s">
        <v>36</v>
      </c>
      <c r="I22" s="16">
        <v>8000</v>
      </c>
      <c r="J22" s="15" t="s">
        <v>37</v>
      </c>
      <c r="K22" s="16">
        <v>8000</v>
      </c>
      <c r="L22" s="15" t="s">
        <v>38</v>
      </c>
      <c r="M22" s="17">
        <v>2.81E-2</v>
      </c>
      <c r="N22" s="18">
        <v>224.8</v>
      </c>
      <c r="O22" s="17"/>
      <c r="P22" s="18"/>
      <c r="Q22" s="15" t="s">
        <v>39</v>
      </c>
      <c r="R22" s="19">
        <v>0</v>
      </c>
      <c r="S22" s="18"/>
      <c r="T22" s="15" t="s">
        <v>40</v>
      </c>
      <c r="U22" s="20"/>
      <c r="V22" s="21"/>
      <c r="W22" s="21"/>
      <c r="X22" s="18"/>
      <c r="Y22" s="15"/>
      <c r="Z22" s="20"/>
      <c r="AA22" s="15"/>
      <c r="AB22" s="21"/>
      <c r="AC22" s="18"/>
      <c r="AD22" s="15"/>
      <c r="AE22" s="20"/>
      <c r="AF22" s="15" t="s">
        <v>41</v>
      </c>
      <c r="AG22" s="21"/>
      <c r="AH22" s="18"/>
      <c r="AI22" s="15" t="s">
        <v>42</v>
      </c>
      <c r="AJ22" s="22"/>
    </row>
    <row r="23" spans="1:36" x14ac:dyDescent="0.3">
      <c r="A23" s="31">
        <v>22</v>
      </c>
      <c r="B23" s="15" t="s">
        <v>91</v>
      </c>
      <c r="C23" s="15" t="s">
        <v>92</v>
      </c>
      <c r="D23" s="33" t="s">
        <v>282</v>
      </c>
      <c r="E23" s="15" t="s">
        <v>93</v>
      </c>
      <c r="F23" s="34">
        <v>85423200</v>
      </c>
      <c r="G23" s="34">
        <f t="shared" si="0"/>
        <v>0</v>
      </c>
      <c r="H23" s="15" t="s">
        <v>36</v>
      </c>
      <c r="I23" s="16">
        <v>12000</v>
      </c>
      <c r="J23" s="15" t="s">
        <v>37</v>
      </c>
      <c r="K23" s="16">
        <v>12000</v>
      </c>
      <c r="L23" s="15" t="s">
        <v>38</v>
      </c>
      <c r="M23" s="17">
        <v>0.20119999999999999</v>
      </c>
      <c r="N23" s="18">
        <v>2414.4</v>
      </c>
      <c r="O23" s="17"/>
      <c r="P23" s="18"/>
      <c r="Q23" s="15" t="s">
        <v>39</v>
      </c>
      <c r="R23" s="19">
        <v>0</v>
      </c>
      <c r="S23" s="18"/>
      <c r="T23" s="15" t="s">
        <v>40</v>
      </c>
      <c r="U23" s="20"/>
      <c r="V23" s="21"/>
      <c r="W23" s="21"/>
      <c r="X23" s="18"/>
      <c r="Y23" s="15"/>
      <c r="Z23" s="20"/>
      <c r="AA23" s="15"/>
      <c r="AB23" s="21"/>
      <c r="AC23" s="18"/>
      <c r="AD23" s="15"/>
      <c r="AE23" s="20"/>
      <c r="AF23" s="15" t="s">
        <v>41</v>
      </c>
      <c r="AG23" s="21"/>
      <c r="AH23" s="18"/>
      <c r="AI23" s="15" t="s">
        <v>42</v>
      </c>
      <c r="AJ23" s="22"/>
    </row>
    <row r="24" spans="1:36" x14ac:dyDescent="0.3">
      <c r="A24" s="31">
        <v>23</v>
      </c>
      <c r="B24" s="15" t="s">
        <v>94</v>
      </c>
      <c r="C24" s="15" t="s">
        <v>95</v>
      </c>
      <c r="D24" s="33" t="s">
        <v>283</v>
      </c>
      <c r="E24" s="15" t="s">
        <v>96</v>
      </c>
      <c r="F24" s="34" t="s">
        <v>96</v>
      </c>
      <c r="G24" s="34">
        <f t="shared" si="0"/>
        <v>0</v>
      </c>
      <c r="H24" s="15" t="s">
        <v>36</v>
      </c>
      <c r="I24" s="16">
        <v>300</v>
      </c>
      <c r="J24" s="15" t="s">
        <v>37</v>
      </c>
      <c r="K24" s="16">
        <v>300</v>
      </c>
      <c r="L24" s="15" t="s">
        <v>38</v>
      </c>
      <c r="M24" s="17">
        <v>2.75E-2</v>
      </c>
      <c r="N24" s="18">
        <v>8.25</v>
      </c>
      <c r="O24" s="17"/>
      <c r="P24" s="18"/>
      <c r="Q24" s="15" t="s">
        <v>39</v>
      </c>
      <c r="R24" s="19">
        <v>0</v>
      </c>
      <c r="S24" s="18"/>
      <c r="T24" s="15" t="s">
        <v>40</v>
      </c>
      <c r="U24" s="20"/>
      <c r="V24" s="21"/>
      <c r="W24" s="21"/>
      <c r="X24" s="18"/>
      <c r="Y24" s="15"/>
      <c r="Z24" s="20"/>
      <c r="AA24" s="15"/>
      <c r="AB24" s="21"/>
      <c r="AC24" s="18"/>
      <c r="AD24" s="15"/>
      <c r="AE24" s="20"/>
      <c r="AF24" s="15" t="s">
        <v>41</v>
      </c>
      <c r="AG24" s="21"/>
      <c r="AH24" s="18"/>
      <c r="AI24" s="15" t="s">
        <v>42</v>
      </c>
      <c r="AJ24" s="22"/>
    </row>
    <row r="25" spans="1:36" x14ac:dyDescent="0.3">
      <c r="A25" s="31">
        <v>24</v>
      </c>
      <c r="B25" s="15" t="s">
        <v>97</v>
      </c>
      <c r="C25" s="15" t="s">
        <v>98</v>
      </c>
      <c r="D25" s="33" t="s">
        <v>284</v>
      </c>
      <c r="E25" s="15" t="s">
        <v>99</v>
      </c>
      <c r="F25" s="34" t="s">
        <v>99</v>
      </c>
      <c r="G25" s="34">
        <f t="shared" si="0"/>
        <v>0</v>
      </c>
      <c r="H25" s="15" t="s">
        <v>36</v>
      </c>
      <c r="I25" s="16">
        <v>24500</v>
      </c>
      <c r="J25" s="15" t="s">
        <v>37</v>
      </c>
      <c r="K25" s="16">
        <v>24500</v>
      </c>
      <c r="L25" s="15" t="s">
        <v>38</v>
      </c>
      <c r="M25" s="17">
        <v>9.8900000000000002E-2</v>
      </c>
      <c r="N25" s="18">
        <v>2423.0500000000002</v>
      </c>
      <c r="O25" s="17"/>
      <c r="P25" s="18"/>
      <c r="Q25" s="15" t="s">
        <v>39</v>
      </c>
      <c r="R25" s="19">
        <v>0</v>
      </c>
      <c r="S25" s="18"/>
      <c r="T25" s="15" t="s">
        <v>40</v>
      </c>
      <c r="U25" s="20"/>
      <c r="V25" s="21"/>
      <c r="W25" s="21"/>
      <c r="X25" s="18"/>
      <c r="Y25" s="15"/>
      <c r="Z25" s="20"/>
      <c r="AA25" s="15"/>
      <c r="AB25" s="21"/>
      <c r="AC25" s="18"/>
      <c r="AD25" s="15"/>
      <c r="AE25" s="20"/>
      <c r="AF25" s="15" t="s">
        <v>41</v>
      </c>
      <c r="AG25" s="21"/>
      <c r="AH25" s="18"/>
      <c r="AI25" s="15" t="s">
        <v>42</v>
      </c>
      <c r="AJ25" s="22"/>
    </row>
    <row r="26" spans="1:36" x14ac:dyDescent="0.3">
      <c r="A26" s="31">
        <v>25</v>
      </c>
      <c r="B26" s="15" t="s">
        <v>100</v>
      </c>
      <c r="C26" s="15" t="s">
        <v>101</v>
      </c>
      <c r="D26" s="33" t="s">
        <v>284</v>
      </c>
      <c r="E26" s="15" t="s">
        <v>99</v>
      </c>
      <c r="F26" s="34">
        <v>85182920</v>
      </c>
      <c r="G26" s="34">
        <f t="shared" si="0"/>
        <v>0</v>
      </c>
      <c r="H26" s="15" t="s">
        <v>36</v>
      </c>
      <c r="I26" s="16">
        <v>10000</v>
      </c>
      <c r="J26" s="15" t="s">
        <v>37</v>
      </c>
      <c r="K26" s="16">
        <v>10000</v>
      </c>
      <c r="L26" s="15" t="s">
        <v>38</v>
      </c>
      <c r="M26" s="17">
        <v>0.10440000000000001</v>
      </c>
      <c r="N26" s="18">
        <v>1044</v>
      </c>
      <c r="O26" s="17"/>
      <c r="P26" s="18"/>
      <c r="Q26" s="15" t="s">
        <v>39</v>
      </c>
      <c r="R26" s="19">
        <v>0</v>
      </c>
      <c r="S26" s="18"/>
      <c r="T26" s="15" t="s">
        <v>40</v>
      </c>
      <c r="U26" s="20"/>
      <c r="V26" s="21"/>
      <c r="W26" s="21"/>
      <c r="X26" s="18"/>
      <c r="Y26" s="15"/>
      <c r="Z26" s="20"/>
      <c r="AA26" s="15"/>
      <c r="AB26" s="21"/>
      <c r="AC26" s="18"/>
      <c r="AD26" s="15"/>
      <c r="AE26" s="20"/>
      <c r="AF26" s="15" t="s">
        <v>41</v>
      </c>
      <c r="AG26" s="21"/>
      <c r="AH26" s="18"/>
      <c r="AI26" s="15" t="s">
        <v>42</v>
      </c>
      <c r="AJ26" s="22"/>
    </row>
    <row r="27" spans="1:36" x14ac:dyDescent="0.3">
      <c r="A27" s="31">
        <v>26</v>
      </c>
      <c r="B27" s="15" t="s">
        <v>102</v>
      </c>
      <c r="C27" s="15" t="s">
        <v>103</v>
      </c>
      <c r="D27" s="33" t="s">
        <v>284</v>
      </c>
      <c r="E27" s="15" t="s">
        <v>99</v>
      </c>
      <c r="F27" s="34" t="s">
        <v>99</v>
      </c>
      <c r="G27" s="34">
        <f t="shared" si="0"/>
        <v>0</v>
      </c>
      <c r="H27" s="15" t="s">
        <v>36</v>
      </c>
      <c r="I27" s="16">
        <v>38300</v>
      </c>
      <c r="J27" s="15" t="s">
        <v>37</v>
      </c>
      <c r="K27" s="16">
        <v>38300</v>
      </c>
      <c r="L27" s="15" t="s">
        <v>38</v>
      </c>
      <c r="M27" s="17">
        <v>0.10979999999999999</v>
      </c>
      <c r="N27" s="18">
        <v>4205.34</v>
      </c>
      <c r="O27" s="17"/>
      <c r="P27" s="18"/>
      <c r="Q27" s="15" t="s">
        <v>39</v>
      </c>
      <c r="R27" s="19">
        <v>0</v>
      </c>
      <c r="S27" s="18"/>
      <c r="T27" s="15" t="s">
        <v>40</v>
      </c>
      <c r="U27" s="20"/>
      <c r="V27" s="21"/>
      <c r="W27" s="21"/>
      <c r="X27" s="18"/>
      <c r="Y27" s="15"/>
      <c r="Z27" s="20"/>
      <c r="AA27" s="15"/>
      <c r="AB27" s="21"/>
      <c r="AC27" s="18"/>
      <c r="AD27" s="15"/>
      <c r="AE27" s="20"/>
      <c r="AF27" s="15" t="s">
        <v>41</v>
      </c>
      <c r="AG27" s="21"/>
      <c r="AH27" s="18"/>
      <c r="AI27" s="15" t="s">
        <v>42</v>
      </c>
      <c r="AJ27" s="22"/>
    </row>
    <row r="28" spans="1:36" x14ac:dyDescent="0.3">
      <c r="A28" s="31">
        <v>27</v>
      </c>
      <c r="B28" s="15" t="s">
        <v>104</v>
      </c>
      <c r="C28" s="15" t="s">
        <v>105</v>
      </c>
      <c r="D28" s="33" t="s">
        <v>284</v>
      </c>
      <c r="E28" s="15" t="s">
        <v>99</v>
      </c>
      <c r="F28" s="34">
        <v>85182920</v>
      </c>
      <c r="G28" s="34">
        <f t="shared" si="0"/>
        <v>0</v>
      </c>
      <c r="H28" s="15" t="s">
        <v>36</v>
      </c>
      <c r="I28" s="16">
        <v>57700</v>
      </c>
      <c r="J28" s="15" t="s">
        <v>37</v>
      </c>
      <c r="K28" s="16">
        <v>57700</v>
      </c>
      <c r="L28" s="15" t="s">
        <v>38</v>
      </c>
      <c r="M28" s="17">
        <v>7.8299999999999995E-2</v>
      </c>
      <c r="N28" s="18">
        <v>4517.91</v>
      </c>
      <c r="O28" s="17"/>
      <c r="P28" s="18"/>
      <c r="Q28" s="15" t="s">
        <v>39</v>
      </c>
      <c r="R28" s="19">
        <v>0</v>
      </c>
      <c r="S28" s="18"/>
      <c r="T28" s="15" t="s">
        <v>40</v>
      </c>
      <c r="U28" s="20"/>
      <c r="V28" s="21"/>
      <c r="W28" s="21"/>
      <c r="X28" s="18"/>
      <c r="Y28" s="15"/>
      <c r="Z28" s="20"/>
      <c r="AA28" s="15"/>
      <c r="AB28" s="21"/>
      <c r="AC28" s="18"/>
      <c r="AD28" s="15"/>
      <c r="AE28" s="20"/>
      <c r="AF28" s="15" t="s">
        <v>41</v>
      </c>
      <c r="AG28" s="21"/>
      <c r="AH28" s="18"/>
      <c r="AI28" s="15" t="s">
        <v>42</v>
      </c>
      <c r="AJ28" s="22"/>
    </row>
    <row r="29" spans="1:36" x14ac:dyDescent="0.3">
      <c r="A29" s="31">
        <v>28</v>
      </c>
      <c r="B29" s="15" t="s">
        <v>106</v>
      </c>
      <c r="C29" s="15" t="s">
        <v>107</v>
      </c>
      <c r="D29" s="33" t="s">
        <v>285</v>
      </c>
      <c r="E29" s="15" t="s">
        <v>108</v>
      </c>
      <c r="F29" s="34">
        <v>85444913</v>
      </c>
      <c r="G29" s="34">
        <f t="shared" si="0"/>
        <v>0</v>
      </c>
      <c r="H29" s="15" t="s">
        <v>36</v>
      </c>
      <c r="I29" s="16">
        <v>22000</v>
      </c>
      <c r="J29" s="15" t="s">
        <v>109</v>
      </c>
      <c r="K29" s="16">
        <v>22000</v>
      </c>
      <c r="L29" s="15" t="s">
        <v>110</v>
      </c>
      <c r="M29" s="17">
        <v>9.6100000000000005E-2</v>
      </c>
      <c r="N29" s="18">
        <v>2114.1999999999998</v>
      </c>
      <c r="O29" s="17"/>
      <c r="P29" s="18"/>
      <c r="Q29" s="15" t="s">
        <v>39</v>
      </c>
      <c r="R29" s="19">
        <v>0</v>
      </c>
      <c r="S29" s="18"/>
      <c r="T29" s="15" t="s">
        <v>40</v>
      </c>
      <c r="U29" s="20"/>
      <c r="V29" s="21"/>
      <c r="W29" s="21"/>
      <c r="X29" s="18"/>
      <c r="Y29" s="15"/>
      <c r="Z29" s="20"/>
      <c r="AA29" s="15"/>
      <c r="AB29" s="21"/>
      <c r="AC29" s="18"/>
      <c r="AD29" s="15"/>
      <c r="AE29" s="20"/>
      <c r="AF29" s="15" t="s">
        <v>41</v>
      </c>
      <c r="AG29" s="21"/>
      <c r="AH29" s="18"/>
      <c r="AI29" s="15" t="s">
        <v>42</v>
      </c>
      <c r="AJ29" s="22"/>
    </row>
    <row r="30" spans="1:36" x14ac:dyDescent="0.3">
      <c r="A30" s="31">
        <v>29</v>
      </c>
      <c r="B30" s="15" t="s">
        <v>111</v>
      </c>
      <c r="C30" s="15" t="s">
        <v>112</v>
      </c>
      <c r="D30" s="33" t="s">
        <v>286</v>
      </c>
      <c r="E30" s="15" t="s">
        <v>113</v>
      </c>
      <c r="F30" s="34" t="s">
        <v>113</v>
      </c>
      <c r="G30" s="34">
        <f t="shared" si="0"/>
        <v>0</v>
      </c>
      <c r="H30" s="15" t="s">
        <v>36</v>
      </c>
      <c r="I30" s="16">
        <v>3300</v>
      </c>
      <c r="J30" s="15" t="s">
        <v>37</v>
      </c>
      <c r="K30" s="16">
        <v>3300</v>
      </c>
      <c r="L30" s="15" t="s">
        <v>38</v>
      </c>
      <c r="M30" s="17">
        <v>0.2475</v>
      </c>
      <c r="N30" s="18">
        <v>816.75</v>
      </c>
      <c r="O30" s="17"/>
      <c r="P30" s="18"/>
      <c r="Q30" s="15" t="s">
        <v>39</v>
      </c>
      <c r="R30" s="19">
        <v>0</v>
      </c>
      <c r="S30" s="18"/>
      <c r="T30" s="15" t="s">
        <v>40</v>
      </c>
      <c r="U30" s="20"/>
      <c r="V30" s="21"/>
      <c r="W30" s="21"/>
      <c r="X30" s="18"/>
      <c r="Y30" s="15"/>
      <c r="Z30" s="20"/>
      <c r="AA30" s="15"/>
      <c r="AB30" s="21"/>
      <c r="AC30" s="18"/>
      <c r="AD30" s="15"/>
      <c r="AE30" s="20"/>
      <c r="AF30" s="15" t="s">
        <v>41</v>
      </c>
      <c r="AG30" s="21"/>
      <c r="AH30" s="18"/>
      <c r="AI30" s="15" t="s">
        <v>42</v>
      </c>
      <c r="AJ30" s="22"/>
    </row>
    <row r="31" spans="1:36" x14ac:dyDescent="0.3">
      <c r="A31" s="31">
        <v>30</v>
      </c>
      <c r="B31" s="15" t="s">
        <v>114</v>
      </c>
      <c r="C31" s="15" t="s">
        <v>115</v>
      </c>
      <c r="D31" s="33" t="s">
        <v>285</v>
      </c>
      <c r="E31" s="15" t="s">
        <v>108</v>
      </c>
      <c r="F31" s="34" t="s">
        <v>108</v>
      </c>
      <c r="G31" s="34">
        <f t="shared" si="0"/>
        <v>0</v>
      </c>
      <c r="H31" s="15" t="s">
        <v>36</v>
      </c>
      <c r="I31" s="16">
        <v>49500</v>
      </c>
      <c r="J31" s="15" t="s">
        <v>37</v>
      </c>
      <c r="K31" s="16">
        <v>49500</v>
      </c>
      <c r="L31" s="15" t="s">
        <v>38</v>
      </c>
      <c r="M31" s="17">
        <v>2.3E-3</v>
      </c>
      <c r="N31" s="18">
        <v>113.85</v>
      </c>
      <c r="O31" s="17"/>
      <c r="P31" s="18"/>
      <c r="Q31" s="15" t="s">
        <v>39</v>
      </c>
      <c r="R31" s="19">
        <v>0</v>
      </c>
      <c r="S31" s="18"/>
      <c r="T31" s="15" t="s">
        <v>40</v>
      </c>
      <c r="U31" s="20"/>
      <c r="V31" s="21"/>
      <c r="W31" s="21"/>
      <c r="X31" s="18"/>
      <c r="Y31" s="15"/>
      <c r="Z31" s="20"/>
      <c r="AA31" s="15"/>
      <c r="AB31" s="21"/>
      <c r="AC31" s="18"/>
      <c r="AD31" s="15"/>
      <c r="AE31" s="20"/>
      <c r="AF31" s="15" t="s">
        <v>41</v>
      </c>
      <c r="AG31" s="21"/>
      <c r="AH31" s="18"/>
      <c r="AI31" s="15" t="s">
        <v>42</v>
      </c>
      <c r="AJ31" s="22"/>
    </row>
    <row r="32" spans="1:36" x14ac:dyDescent="0.3">
      <c r="A32" s="31">
        <v>31</v>
      </c>
      <c r="B32" s="15" t="s">
        <v>116</v>
      </c>
      <c r="C32" s="15" t="s">
        <v>117</v>
      </c>
      <c r="D32" s="33" t="s">
        <v>285</v>
      </c>
      <c r="E32" s="15" t="s">
        <v>108</v>
      </c>
      <c r="F32" s="34" t="s">
        <v>108</v>
      </c>
      <c r="G32" s="34">
        <f t="shared" si="0"/>
        <v>0</v>
      </c>
      <c r="H32" s="15" t="s">
        <v>36</v>
      </c>
      <c r="I32" s="16">
        <v>28200</v>
      </c>
      <c r="J32" s="15" t="s">
        <v>37</v>
      </c>
      <c r="K32" s="16">
        <v>28200</v>
      </c>
      <c r="L32" s="15" t="s">
        <v>38</v>
      </c>
      <c r="M32" s="17">
        <v>4.1999999999999997E-3</v>
      </c>
      <c r="N32" s="18">
        <v>118.44</v>
      </c>
      <c r="O32" s="17"/>
      <c r="P32" s="18"/>
      <c r="Q32" s="15" t="s">
        <v>39</v>
      </c>
      <c r="R32" s="19">
        <v>0</v>
      </c>
      <c r="S32" s="18"/>
      <c r="T32" s="15" t="s">
        <v>40</v>
      </c>
      <c r="U32" s="20"/>
      <c r="V32" s="21"/>
      <c r="W32" s="21"/>
      <c r="X32" s="18"/>
      <c r="Y32" s="15"/>
      <c r="Z32" s="20"/>
      <c r="AA32" s="15"/>
      <c r="AB32" s="21"/>
      <c r="AC32" s="18"/>
      <c r="AD32" s="15"/>
      <c r="AE32" s="20"/>
      <c r="AF32" s="15" t="s">
        <v>41</v>
      </c>
      <c r="AG32" s="21"/>
      <c r="AH32" s="18"/>
      <c r="AI32" s="15" t="s">
        <v>42</v>
      </c>
      <c r="AJ32" s="22"/>
    </row>
    <row r="33" spans="1:36" x14ac:dyDescent="0.3">
      <c r="A33" s="31">
        <v>32</v>
      </c>
      <c r="B33" s="15" t="s">
        <v>118</v>
      </c>
      <c r="C33" s="15" t="s">
        <v>119</v>
      </c>
      <c r="D33" s="33" t="s">
        <v>285</v>
      </c>
      <c r="E33" s="15" t="s">
        <v>108</v>
      </c>
      <c r="F33" s="34" t="s">
        <v>108</v>
      </c>
      <c r="G33" s="34">
        <f t="shared" si="0"/>
        <v>0</v>
      </c>
      <c r="H33" s="15" t="s">
        <v>36</v>
      </c>
      <c r="I33" s="16">
        <v>32800</v>
      </c>
      <c r="J33" s="15" t="s">
        <v>37</v>
      </c>
      <c r="K33" s="16">
        <v>32800</v>
      </c>
      <c r="L33" s="15" t="s">
        <v>38</v>
      </c>
      <c r="M33" s="17">
        <v>0.10979999999999999</v>
      </c>
      <c r="N33" s="18">
        <v>3601.44</v>
      </c>
      <c r="O33" s="17"/>
      <c r="P33" s="18"/>
      <c r="Q33" s="15" t="s">
        <v>39</v>
      </c>
      <c r="R33" s="19">
        <v>0</v>
      </c>
      <c r="S33" s="18"/>
      <c r="T33" s="15" t="s">
        <v>40</v>
      </c>
      <c r="U33" s="20"/>
      <c r="V33" s="21"/>
      <c r="W33" s="21"/>
      <c r="X33" s="18"/>
      <c r="Y33" s="15"/>
      <c r="Z33" s="20"/>
      <c r="AA33" s="15"/>
      <c r="AB33" s="21"/>
      <c r="AC33" s="18"/>
      <c r="AD33" s="15"/>
      <c r="AE33" s="20"/>
      <c r="AF33" s="15" t="s">
        <v>41</v>
      </c>
      <c r="AG33" s="21"/>
      <c r="AH33" s="18"/>
      <c r="AI33" s="15" t="s">
        <v>42</v>
      </c>
      <c r="AJ33" s="22"/>
    </row>
    <row r="34" spans="1:36" x14ac:dyDescent="0.3">
      <c r="A34" s="31">
        <v>33</v>
      </c>
      <c r="B34" s="15" t="s">
        <v>120</v>
      </c>
      <c r="C34" s="15" t="s">
        <v>121</v>
      </c>
      <c r="D34" s="33" t="s">
        <v>287</v>
      </c>
      <c r="E34" s="15" t="s">
        <v>108</v>
      </c>
      <c r="F34" s="34" t="s">
        <v>108</v>
      </c>
      <c r="G34" s="34">
        <f t="shared" si="0"/>
        <v>0</v>
      </c>
      <c r="H34" s="15" t="s">
        <v>36</v>
      </c>
      <c r="I34" s="16">
        <v>75800</v>
      </c>
      <c r="J34" s="15" t="s">
        <v>37</v>
      </c>
      <c r="K34" s="16">
        <v>75800</v>
      </c>
      <c r="L34" s="15" t="s">
        <v>38</v>
      </c>
      <c r="M34" s="17">
        <v>9.9000000000000008E-3</v>
      </c>
      <c r="N34" s="18">
        <v>750.42</v>
      </c>
      <c r="O34" s="17"/>
      <c r="P34" s="18"/>
      <c r="Q34" s="15" t="s">
        <v>39</v>
      </c>
      <c r="R34" s="19">
        <v>0</v>
      </c>
      <c r="S34" s="18"/>
      <c r="T34" s="15" t="s">
        <v>40</v>
      </c>
      <c r="U34" s="20"/>
      <c r="V34" s="21"/>
      <c r="W34" s="21"/>
      <c r="X34" s="18"/>
      <c r="Y34" s="15"/>
      <c r="Z34" s="20"/>
      <c r="AA34" s="15"/>
      <c r="AB34" s="21"/>
      <c r="AC34" s="18"/>
      <c r="AD34" s="15"/>
      <c r="AE34" s="20"/>
      <c r="AF34" s="15" t="s">
        <v>41</v>
      </c>
      <c r="AG34" s="21"/>
      <c r="AH34" s="18"/>
      <c r="AI34" s="15" t="s">
        <v>42</v>
      </c>
      <c r="AJ34" s="22"/>
    </row>
    <row r="35" spans="1:36" x14ac:dyDescent="0.3">
      <c r="A35" s="31">
        <v>34</v>
      </c>
      <c r="B35" s="15" t="s">
        <v>122</v>
      </c>
      <c r="C35" s="15" t="s">
        <v>123</v>
      </c>
      <c r="D35" s="33" t="s">
        <v>287</v>
      </c>
      <c r="E35" s="15" t="s">
        <v>108</v>
      </c>
      <c r="F35" s="34" t="s">
        <v>108</v>
      </c>
      <c r="G35" s="34">
        <f t="shared" si="0"/>
        <v>0</v>
      </c>
      <c r="H35" s="15" t="s">
        <v>36</v>
      </c>
      <c r="I35" s="16">
        <v>75800</v>
      </c>
      <c r="J35" s="15" t="s">
        <v>37</v>
      </c>
      <c r="K35" s="16">
        <v>75800</v>
      </c>
      <c r="L35" s="15" t="s">
        <v>38</v>
      </c>
      <c r="M35" s="17">
        <v>1.44E-2</v>
      </c>
      <c r="N35" s="18">
        <v>1091.52</v>
      </c>
      <c r="O35" s="17"/>
      <c r="P35" s="18"/>
      <c r="Q35" s="15" t="s">
        <v>39</v>
      </c>
      <c r="R35" s="19">
        <v>0</v>
      </c>
      <c r="S35" s="18"/>
      <c r="T35" s="15" t="s">
        <v>40</v>
      </c>
      <c r="U35" s="20"/>
      <c r="V35" s="21"/>
      <c r="W35" s="21"/>
      <c r="X35" s="18"/>
      <c r="Y35" s="15"/>
      <c r="Z35" s="20"/>
      <c r="AA35" s="15"/>
      <c r="AB35" s="21"/>
      <c r="AC35" s="18"/>
      <c r="AD35" s="15"/>
      <c r="AE35" s="20"/>
      <c r="AF35" s="15" t="s">
        <v>41</v>
      </c>
      <c r="AG35" s="21"/>
      <c r="AH35" s="18"/>
      <c r="AI35" s="15" t="s">
        <v>42</v>
      </c>
      <c r="AJ35" s="22"/>
    </row>
    <row r="36" spans="1:36" x14ac:dyDescent="0.3">
      <c r="A36" s="31">
        <v>35</v>
      </c>
      <c r="B36" s="15" t="s">
        <v>124</v>
      </c>
      <c r="C36" s="15" t="s">
        <v>125</v>
      </c>
      <c r="D36" s="33" t="s">
        <v>288</v>
      </c>
      <c r="E36" s="15" t="s">
        <v>126</v>
      </c>
      <c r="F36" s="34" t="s">
        <v>126</v>
      </c>
      <c r="G36" s="34">
        <f t="shared" si="0"/>
        <v>0</v>
      </c>
      <c r="H36" s="15" t="s">
        <v>36</v>
      </c>
      <c r="I36" s="16">
        <v>288000</v>
      </c>
      <c r="J36" s="15" t="s">
        <v>37</v>
      </c>
      <c r="K36" s="16">
        <v>77.760000000000005</v>
      </c>
      <c r="L36" s="15" t="s">
        <v>127</v>
      </c>
      <c r="M36" s="17">
        <v>1.9E-3</v>
      </c>
      <c r="N36" s="18">
        <v>547.20000000000005</v>
      </c>
      <c r="O36" s="17"/>
      <c r="P36" s="18"/>
      <c r="Q36" s="15" t="s">
        <v>39</v>
      </c>
      <c r="R36" s="19">
        <v>0</v>
      </c>
      <c r="S36" s="18"/>
      <c r="T36" s="15" t="s">
        <v>40</v>
      </c>
      <c r="U36" s="20"/>
      <c r="V36" s="21"/>
      <c r="W36" s="21"/>
      <c r="X36" s="18"/>
      <c r="Y36" s="15"/>
      <c r="Z36" s="20"/>
      <c r="AA36" s="15"/>
      <c r="AB36" s="21"/>
      <c r="AC36" s="18"/>
      <c r="AD36" s="15"/>
      <c r="AE36" s="20"/>
      <c r="AF36" s="15" t="s">
        <v>41</v>
      </c>
      <c r="AG36" s="21"/>
      <c r="AH36" s="18"/>
      <c r="AI36" s="15" t="s">
        <v>42</v>
      </c>
      <c r="AJ36" s="22"/>
    </row>
    <row r="37" spans="1:36" x14ac:dyDescent="0.3">
      <c r="A37" s="31">
        <v>36</v>
      </c>
      <c r="B37" s="15" t="s">
        <v>128</v>
      </c>
      <c r="C37" s="15" t="s">
        <v>129</v>
      </c>
      <c r="D37" s="33" t="s">
        <v>289</v>
      </c>
      <c r="E37" s="15" t="s">
        <v>126</v>
      </c>
      <c r="F37" s="34">
        <v>73181510</v>
      </c>
      <c r="G37" s="34">
        <f t="shared" si="0"/>
        <v>0</v>
      </c>
      <c r="H37" s="15" t="s">
        <v>36</v>
      </c>
      <c r="I37" s="16">
        <v>84000</v>
      </c>
      <c r="J37" s="15" t="s">
        <v>37</v>
      </c>
      <c r="K37" s="16">
        <v>25.2</v>
      </c>
      <c r="L37" s="15" t="s">
        <v>127</v>
      </c>
      <c r="M37" s="17">
        <v>1.1999999999999999E-3</v>
      </c>
      <c r="N37" s="18">
        <v>100.8</v>
      </c>
      <c r="O37" s="17"/>
      <c r="P37" s="18"/>
      <c r="Q37" s="15" t="s">
        <v>39</v>
      </c>
      <c r="R37" s="19">
        <v>0</v>
      </c>
      <c r="S37" s="18"/>
      <c r="T37" s="15" t="s">
        <v>40</v>
      </c>
      <c r="U37" s="20"/>
      <c r="V37" s="21"/>
      <c r="W37" s="21"/>
      <c r="X37" s="18"/>
      <c r="Y37" s="15"/>
      <c r="Z37" s="20"/>
      <c r="AA37" s="15"/>
      <c r="AB37" s="21"/>
      <c r="AC37" s="18"/>
      <c r="AD37" s="15"/>
      <c r="AE37" s="20"/>
      <c r="AF37" s="15" t="s">
        <v>41</v>
      </c>
      <c r="AG37" s="21"/>
      <c r="AH37" s="18"/>
      <c r="AI37" s="15" t="s">
        <v>42</v>
      </c>
      <c r="AJ37" s="22"/>
    </row>
    <row r="38" spans="1:36" x14ac:dyDescent="0.3">
      <c r="A38" s="31">
        <v>37</v>
      </c>
      <c r="B38" s="15" t="s">
        <v>130</v>
      </c>
      <c r="C38" s="15" t="s">
        <v>131</v>
      </c>
      <c r="D38" s="33" t="s">
        <v>290</v>
      </c>
      <c r="E38" s="15" t="s">
        <v>126</v>
      </c>
      <c r="F38" s="34">
        <v>73181510</v>
      </c>
      <c r="G38" s="34">
        <f t="shared" si="0"/>
        <v>0</v>
      </c>
      <c r="H38" s="15" t="s">
        <v>36</v>
      </c>
      <c r="I38" s="16">
        <v>57000</v>
      </c>
      <c r="J38" s="15" t="s">
        <v>37</v>
      </c>
      <c r="K38" s="16">
        <v>18</v>
      </c>
      <c r="L38" s="15" t="s">
        <v>127</v>
      </c>
      <c r="M38" s="17">
        <v>2.2000000000000001E-3</v>
      </c>
      <c r="N38" s="18">
        <v>125.4</v>
      </c>
      <c r="O38" s="17"/>
      <c r="P38" s="18"/>
      <c r="Q38" s="15" t="s">
        <v>39</v>
      </c>
      <c r="R38" s="19">
        <v>0</v>
      </c>
      <c r="S38" s="18"/>
      <c r="T38" s="15" t="s">
        <v>40</v>
      </c>
      <c r="U38" s="20"/>
      <c r="V38" s="21"/>
      <c r="W38" s="21"/>
      <c r="X38" s="18"/>
      <c r="Y38" s="15"/>
      <c r="Z38" s="20"/>
      <c r="AA38" s="15"/>
      <c r="AB38" s="21"/>
      <c r="AC38" s="18"/>
      <c r="AD38" s="15"/>
      <c r="AE38" s="20"/>
      <c r="AF38" s="15" t="s">
        <v>41</v>
      </c>
      <c r="AG38" s="21"/>
      <c r="AH38" s="18"/>
      <c r="AI38" s="15" t="s">
        <v>42</v>
      </c>
      <c r="AJ38" s="22"/>
    </row>
    <row r="39" spans="1:36" x14ac:dyDescent="0.3">
      <c r="A39" s="31">
        <v>38</v>
      </c>
      <c r="B39" s="15" t="s">
        <v>132</v>
      </c>
      <c r="C39" s="15" t="s">
        <v>133</v>
      </c>
      <c r="D39" s="33" t="s">
        <v>290</v>
      </c>
      <c r="E39" s="15" t="s">
        <v>126</v>
      </c>
      <c r="F39" s="34" t="s">
        <v>126</v>
      </c>
      <c r="G39" s="34">
        <f t="shared" si="0"/>
        <v>0</v>
      </c>
      <c r="H39" s="15" t="s">
        <v>36</v>
      </c>
      <c r="I39" s="16">
        <v>8000</v>
      </c>
      <c r="J39" s="15" t="s">
        <v>37</v>
      </c>
      <c r="K39" s="16">
        <v>5.84</v>
      </c>
      <c r="L39" s="15" t="s">
        <v>127</v>
      </c>
      <c r="M39" s="17">
        <v>4.5999999999999999E-3</v>
      </c>
      <c r="N39" s="18">
        <v>36.799999999999997</v>
      </c>
      <c r="O39" s="17"/>
      <c r="P39" s="18"/>
      <c r="Q39" s="15" t="s">
        <v>39</v>
      </c>
      <c r="R39" s="19">
        <v>0</v>
      </c>
      <c r="S39" s="18"/>
      <c r="T39" s="15" t="s">
        <v>40</v>
      </c>
      <c r="U39" s="20"/>
      <c r="V39" s="21"/>
      <c r="W39" s="21"/>
      <c r="X39" s="18"/>
      <c r="Y39" s="15"/>
      <c r="Z39" s="20"/>
      <c r="AA39" s="15"/>
      <c r="AB39" s="21"/>
      <c r="AC39" s="18"/>
      <c r="AD39" s="15"/>
      <c r="AE39" s="20"/>
      <c r="AF39" s="15" t="s">
        <v>41</v>
      </c>
      <c r="AG39" s="21"/>
      <c r="AH39" s="18"/>
      <c r="AI39" s="15" t="s">
        <v>42</v>
      </c>
      <c r="AJ39" s="22"/>
    </row>
    <row r="40" spans="1:36" x14ac:dyDescent="0.3">
      <c r="A40" s="31">
        <v>39</v>
      </c>
      <c r="B40" s="15" t="s">
        <v>134</v>
      </c>
      <c r="C40" s="15" t="s">
        <v>135</v>
      </c>
      <c r="D40" s="33" t="s">
        <v>291</v>
      </c>
      <c r="E40" s="15" t="s">
        <v>126</v>
      </c>
      <c r="F40" s="34" t="s">
        <v>126</v>
      </c>
      <c r="G40" s="34">
        <f t="shared" si="0"/>
        <v>0</v>
      </c>
      <c r="H40" s="15" t="s">
        <v>36</v>
      </c>
      <c r="I40" s="16">
        <v>49000</v>
      </c>
      <c r="J40" s="15" t="s">
        <v>37</v>
      </c>
      <c r="K40" s="16">
        <v>4.9000000000000004</v>
      </c>
      <c r="L40" s="15" t="s">
        <v>127</v>
      </c>
      <c r="M40" s="17">
        <v>8.9999999999999998E-4</v>
      </c>
      <c r="N40" s="18">
        <v>44.1</v>
      </c>
      <c r="O40" s="17"/>
      <c r="P40" s="18"/>
      <c r="Q40" s="15" t="s">
        <v>39</v>
      </c>
      <c r="R40" s="19">
        <v>0</v>
      </c>
      <c r="S40" s="18"/>
      <c r="T40" s="15" t="s">
        <v>40</v>
      </c>
      <c r="U40" s="20"/>
      <c r="V40" s="21"/>
      <c r="W40" s="21"/>
      <c r="X40" s="18"/>
      <c r="Y40" s="15"/>
      <c r="Z40" s="20"/>
      <c r="AA40" s="15"/>
      <c r="AB40" s="21"/>
      <c r="AC40" s="18"/>
      <c r="AD40" s="15"/>
      <c r="AE40" s="20"/>
      <c r="AF40" s="15" t="s">
        <v>41</v>
      </c>
      <c r="AG40" s="21"/>
      <c r="AH40" s="18"/>
      <c r="AI40" s="15" t="s">
        <v>42</v>
      </c>
      <c r="AJ40" s="22"/>
    </row>
    <row r="41" spans="1:36" x14ac:dyDescent="0.3">
      <c r="A41" s="31">
        <v>40</v>
      </c>
      <c r="B41" s="15" t="s">
        <v>136</v>
      </c>
      <c r="C41" s="15" t="s">
        <v>137</v>
      </c>
      <c r="D41" s="33" t="s">
        <v>291</v>
      </c>
      <c r="E41" s="15" t="s">
        <v>126</v>
      </c>
      <c r="F41" s="34">
        <v>73181510</v>
      </c>
      <c r="G41" s="34">
        <f t="shared" si="0"/>
        <v>0</v>
      </c>
      <c r="H41" s="15" t="s">
        <v>36</v>
      </c>
      <c r="I41" s="16">
        <v>285000</v>
      </c>
      <c r="J41" s="15" t="s">
        <v>37</v>
      </c>
      <c r="K41" s="16">
        <v>57</v>
      </c>
      <c r="L41" s="15" t="s">
        <v>127</v>
      </c>
      <c r="M41" s="17">
        <v>8.9999999999999998E-4</v>
      </c>
      <c r="N41" s="18">
        <v>256.5</v>
      </c>
      <c r="O41" s="17"/>
      <c r="P41" s="18"/>
      <c r="Q41" s="15" t="s">
        <v>39</v>
      </c>
      <c r="R41" s="19">
        <v>0</v>
      </c>
      <c r="S41" s="18"/>
      <c r="T41" s="15" t="s">
        <v>40</v>
      </c>
      <c r="U41" s="20"/>
      <c r="V41" s="21"/>
      <c r="W41" s="21"/>
      <c r="X41" s="18"/>
      <c r="Y41" s="15"/>
      <c r="Z41" s="20"/>
      <c r="AA41" s="15"/>
      <c r="AB41" s="21"/>
      <c r="AC41" s="18"/>
      <c r="AD41" s="15"/>
      <c r="AE41" s="20"/>
      <c r="AF41" s="15" t="s">
        <v>41</v>
      </c>
      <c r="AG41" s="21"/>
      <c r="AH41" s="18"/>
      <c r="AI41" s="15" t="s">
        <v>42</v>
      </c>
      <c r="AJ41" s="22"/>
    </row>
    <row r="42" spans="1:36" x14ac:dyDescent="0.3">
      <c r="A42" s="31">
        <v>41</v>
      </c>
      <c r="B42" s="15" t="s">
        <v>138</v>
      </c>
      <c r="C42" s="15" t="s">
        <v>139</v>
      </c>
      <c r="D42" s="33" t="s">
        <v>291</v>
      </c>
      <c r="E42" s="15" t="s">
        <v>126</v>
      </c>
      <c r="F42" s="34">
        <v>73181510</v>
      </c>
      <c r="G42" s="34">
        <f t="shared" si="0"/>
        <v>0</v>
      </c>
      <c r="H42" s="15" t="s">
        <v>36</v>
      </c>
      <c r="I42" s="16">
        <v>491000</v>
      </c>
      <c r="J42" s="15" t="s">
        <v>37</v>
      </c>
      <c r="K42" s="16">
        <v>98.2</v>
      </c>
      <c r="L42" s="15" t="s">
        <v>127</v>
      </c>
      <c r="M42" s="17">
        <v>8.9999999999999998E-4</v>
      </c>
      <c r="N42" s="18">
        <v>441.9</v>
      </c>
      <c r="O42" s="17"/>
      <c r="P42" s="18"/>
      <c r="Q42" s="15" t="s">
        <v>39</v>
      </c>
      <c r="R42" s="19">
        <v>0</v>
      </c>
      <c r="S42" s="18"/>
      <c r="T42" s="15" t="s">
        <v>40</v>
      </c>
      <c r="U42" s="20"/>
      <c r="V42" s="21"/>
      <c r="W42" s="21"/>
      <c r="X42" s="18"/>
      <c r="Y42" s="15"/>
      <c r="Z42" s="20"/>
      <c r="AA42" s="15"/>
      <c r="AB42" s="21"/>
      <c r="AC42" s="18"/>
      <c r="AD42" s="15"/>
      <c r="AE42" s="20"/>
      <c r="AF42" s="15" t="s">
        <v>41</v>
      </c>
      <c r="AG42" s="21"/>
      <c r="AH42" s="18"/>
      <c r="AI42" s="15" t="s">
        <v>42</v>
      </c>
      <c r="AJ42" s="22"/>
    </row>
    <row r="43" spans="1:36" x14ac:dyDescent="0.3">
      <c r="A43" s="31">
        <v>42</v>
      </c>
      <c r="B43" s="15" t="s">
        <v>140</v>
      </c>
      <c r="C43" s="15" t="s">
        <v>141</v>
      </c>
      <c r="D43" s="33" t="s">
        <v>291</v>
      </c>
      <c r="E43" s="15" t="s">
        <v>126</v>
      </c>
      <c r="F43" s="34" t="s">
        <v>126</v>
      </c>
      <c r="G43" s="34">
        <f t="shared" si="0"/>
        <v>0</v>
      </c>
      <c r="H43" s="15" t="s">
        <v>36</v>
      </c>
      <c r="I43" s="16">
        <v>640000</v>
      </c>
      <c r="J43" s="15" t="s">
        <v>37</v>
      </c>
      <c r="K43" s="16">
        <v>192</v>
      </c>
      <c r="L43" s="15" t="s">
        <v>127</v>
      </c>
      <c r="M43" s="17">
        <v>1.2999999999999999E-3</v>
      </c>
      <c r="N43" s="18">
        <v>832</v>
      </c>
      <c r="O43" s="17"/>
      <c r="P43" s="18"/>
      <c r="Q43" s="15" t="s">
        <v>39</v>
      </c>
      <c r="R43" s="19">
        <v>0</v>
      </c>
      <c r="S43" s="18"/>
      <c r="T43" s="15" t="s">
        <v>40</v>
      </c>
      <c r="U43" s="20"/>
      <c r="V43" s="21"/>
      <c r="W43" s="21"/>
      <c r="X43" s="18"/>
      <c r="Y43" s="15"/>
      <c r="Z43" s="20"/>
      <c r="AA43" s="15"/>
      <c r="AB43" s="21"/>
      <c r="AC43" s="18"/>
      <c r="AD43" s="15"/>
      <c r="AE43" s="20"/>
      <c r="AF43" s="15" t="s">
        <v>41</v>
      </c>
      <c r="AG43" s="21"/>
      <c r="AH43" s="18"/>
      <c r="AI43" s="15" t="s">
        <v>42</v>
      </c>
      <c r="AJ43" s="22"/>
    </row>
    <row r="44" spans="1:36" x14ac:dyDescent="0.3">
      <c r="A44" s="31">
        <v>43</v>
      </c>
      <c r="B44" s="15" t="s">
        <v>142</v>
      </c>
      <c r="C44" s="15" t="s">
        <v>143</v>
      </c>
      <c r="D44" s="33" t="s">
        <v>292</v>
      </c>
      <c r="E44" s="15" t="s">
        <v>144</v>
      </c>
      <c r="F44" s="34">
        <v>73181610</v>
      </c>
      <c r="G44" s="34">
        <f t="shared" si="0"/>
        <v>0</v>
      </c>
      <c r="H44" s="15" t="s">
        <v>36</v>
      </c>
      <c r="I44" s="16">
        <v>100000</v>
      </c>
      <c r="J44" s="15" t="s">
        <v>37</v>
      </c>
      <c r="K44" s="16">
        <v>22</v>
      </c>
      <c r="L44" s="15" t="s">
        <v>127</v>
      </c>
      <c r="M44" s="17">
        <v>2E-3</v>
      </c>
      <c r="N44" s="18">
        <v>200</v>
      </c>
      <c r="O44" s="17"/>
      <c r="P44" s="18"/>
      <c r="Q44" s="15" t="s">
        <v>39</v>
      </c>
      <c r="R44" s="19">
        <v>0</v>
      </c>
      <c r="S44" s="18"/>
      <c r="T44" s="15" t="s">
        <v>40</v>
      </c>
      <c r="U44" s="20"/>
      <c r="V44" s="21"/>
      <c r="W44" s="21"/>
      <c r="X44" s="18"/>
      <c r="Y44" s="15"/>
      <c r="Z44" s="20"/>
      <c r="AA44" s="15"/>
      <c r="AB44" s="21"/>
      <c r="AC44" s="18"/>
      <c r="AD44" s="15"/>
      <c r="AE44" s="20"/>
      <c r="AF44" s="15" t="s">
        <v>41</v>
      </c>
      <c r="AG44" s="21"/>
      <c r="AH44" s="18"/>
      <c r="AI44" s="15" t="s">
        <v>42</v>
      </c>
      <c r="AJ44" s="22"/>
    </row>
    <row r="45" spans="1:36" x14ac:dyDescent="0.3">
      <c r="A45" s="31">
        <v>44</v>
      </c>
      <c r="B45" s="15" t="s">
        <v>145</v>
      </c>
      <c r="C45" s="15" t="s">
        <v>146</v>
      </c>
      <c r="D45" s="33" t="s">
        <v>293</v>
      </c>
      <c r="E45" s="15" t="s">
        <v>147</v>
      </c>
      <c r="F45" s="34">
        <v>85366924</v>
      </c>
      <c r="G45" s="34">
        <f t="shared" si="0"/>
        <v>0</v>
      </c>
      <c r="H45" s="15" t="s">
        <v>148</v>
      </c>
      <c r="I45" s="16">
        <v>250</v>
      </c>
      <c r="J45" s="15" t="s">
        <v>37</v>
      </c>
      <c r="K45" s="16">
        <v>250</v>
      </c>
      <c r="L45" s="15" t="s">
        <v>38</v>
      </c>
      <c r="M45" s="17">
        <v>0.09</v>
      </c>
      <c r="N45" s="18">
        <v>22.5</v>
      </c>
      <c r="O45" s="17"/>
      <c r="P45" s="18"/>
      <c r="Q45" s="15" t="s">
        <v>39</v>
      </c>
      <c r="R45" s="19">
        <v>0</v>
      </c>
      <c r="S45" s="18"/>
      <c r="T45" s="15" t="s">
        <v>40</v>
      </c>
      <c r="U45" s="20"/>
      <c r="V45" s="21"/>
      <c r="W45" s="21"/>
      <c r="X45" s="18"/>
      <c r="Y45" s="15"/>
      <c r="Z45" s="20"/>
      <c r="AA45" s="15"/>
      <c r="AB45" s="21"/>
      <c r="AC45" s="18"/>
      <c r="AD45" s="15"/>
      <c r="AE45" s="20"/>
      <c r="AF45" s="15" t="s">
        <v>41</v>
      </c>
      <c r="AG45" s="21"/>
      <c r="AH45" s="18"/>
      <c r="AI45" s="15" t="s">
        <v>42</v>
      </c>
      <c r="AJ45" s="22"/>
    </row>
    <row r="46" spans="1:36" x14ac:dyDescent="0.3">
      <c r="A46" s="31">
        <v>45</v>
      </c>
      <c r="B46" s="15" t="s">
        <v>149</v>
      </c>
      <c r="C46" s="15" t="s">
        <v>150</v>
      </c>
      <c r="D46" s="33" t="s">
        <v>294</v>
      </c>
      <c r="E46" s="15" t="s">
        <v>151</v>
      </c>
      <c r="F46" s="34" t="s">
        <v>151</v>
      </c>
      <c r="G46" s="34">
        <f t="shared" si="0"/>
        <v>0</v>
      </c>
      <c r="H46" s="15" t="s">
        <v>36</v>
      </c>
      <c r="I46" s="16">
        <v>1820</v>
      </c>
      <c r="J46" s="15" t="s">
        <v>37</v>
      </c>
      <c r="K46" s="16">
        <v>1820</v>
      </c>
      <c r="L46" s="15" t="s">
        <v>38</v>
      </c>
      <c r="M46" s="17">
        <v>1.15E-2</v>
      </c>
      <c r="N46" s="18">
        <v>20.93</v>
      </c>
      <c r="O46" s="17"/>
      <c r="P46" s="18"/>
      <c r="Q46" s="15" t="s">
        <v>39</v>
      </c>
      <c r="R46" s="19">
        <v>0</v>
      </c>
      <c r="S46" s="18"/>
      <c r="T46" s="15" t="s">
        <v>40</v>
      </c>
      <c r="U46" s="20"/>
      <c r="V46" s="21"/>
      <c r="W46" s="21"/>
      <c r="X46" s="18"/>
      <c r="Y46" s="15"/>
      <c r="Z46" s="20"/>
      <c r="AA46" s="15"/>
      <c r="AB46" s="21"/>
      <c r="AC46" s="18"/>
      <c r="AD46" s="15"/>
      <c r="AE46" s="20"/>
      <c r="AF46" s="15" t="s">
        <v>41</v>
      </c>
      <c r="AG46" s="21"/>
      <c r="AH46" s="18"/>
      <c r="AI46" s="15" t="s">
        <v>42</v>
      </c>
      <c r="AJ46" s="22"/>
    </row>
    <row r="47" spans="1:36" x14ac:dyDescent="0.3">
      <c r="A47" s="31">
        <v>46</v>
      </c>
      <c r="B47" s="15" t="s">
        <v>152</v>
      </c>
      <c r="C47" s="15" t="s">
        <v>153</v>
      </c>
      <c r="D47" s="33" t="s">
        <v>295</v>
      </c>
      <c r="E47" s="15" t="s">
        <v>154</v>
      </c>
      <c r="F47" s="34" t="s">
        <v>154</v>
      </c>
      <c r="G47" s="34">
        <f t="shared" si="0"/>
        <v>0</v>
      </c>
      <c r="H47" s="15" t="s">
        <v>36</v>
      </c>
      <c r="I47" s="16">
        <v>160</v>
      </c>
      <c r="J47" s="15" t="s">
        <v>37</v>
      </c>
      <c r="K47" s="16">
        <v>160</v>
      </c>
      <c r="L47" s="15" t="s">
        <v>38</v>
      </c>
      <c r="M47" s="17">
        <v>5.4899999999999997E-2</v>
      </c>
      <c r="N47" s="18">
        <v>8.7840000000000007</v>
      </c>
      <c r="O47" s="17"/>
      <c r="P47" s="18"/>
      <c r="Q47" s="15" t="s">
        <v>39</v>
      </c>
      <c r="R47" s="19">
        <v>0</v>
      </c>
      <c r="S47" s="18"/>
      <c r="T47" s="15" t="s">
        <v>40</v>
      </c>
      <c r="U47" s="20"/>
      <c r="V47" s="21"/>
      <c r="W47" s="21"/>
      <c r="X47" s="18"/>
      <c r="Y47" s="15"/>
      <c r="Z47" s="20"/>
      <c r="AA47" s="15"/>
      <c r="AB47" s="21"/>
      <c r="AC47" s="18"/>
      <c r="AD47" s="15"/>
      <c r="AE47" s="20"/>
      <c r="AF47" s="15" t="s">
        <v>41</v>
      </c>
      <c r="AG47" s="21"/>
      <c r="AH47" s="18"/>
      <c r="AI47" s="15" t="s">
        <v>42</v>
      </c>
      <c r="AJ47" s="22"/>
    </row>
    <row r="48" spans="1:36" x14ac:dyDescent="0.3">
      <c r="A48" s="31">
        <v>47</v>
      </c>
      <c r="B48" s="15" t="s">
        <v>155</v>
      </c>
      <c r="C48" s="15" t="s">
        <v>156</v>
      </c>
      <c r="D48" s="33" t="s">
        <v>296</v>
      </c>
      <c r="E48" s="15" t="s">
        <v>157</v>
      </c>
      <c r="F48" s="34" t="s">
        <v>157</v>
      </c>
      <c r="G48" s="34">
        <f t="shared" si="0"/>
        <v>0</v>
      </c>
      <c r="H48" s="15" t="s">
        <v>36</v>
      </c>
      <c r="I48" s="16">
        <v>2000</v>
      </c>
      <c r="J48" s="15" t="s">
        <v>37</v>
      </c>
      <c r="K48" s="16">
        <v>2000</v>
      </c>
      <c r="L48" s="15" t="s">
        <v>38</v>
      </c>
      <c r="M48" s="17">
        <v>7.7000000000000002E-3</v>
      </c>
      <c r="N48" s="18">
        <v>15.4</v>
      </c>
      <c r="O48" s="17"/>
      <c r="P48" s="18"/>
      <c r="Q48" s="15" t="s">
        <v>39</v>
      </c>
      <c r="R48" s="19">
        <v>0</v>
      </c>
      <c r="S48" s="18"/>
      <c r="T48" s="15" t="s">
        <v>40</v>
      </c>
      <c r="U48" s="20"/>
      <c r="V48" s="21"/>
      <c r="W48" s="21"/>
      <c r="X48" s="18"/>
      <c r="Y48" s="15"/>
      <c r="Z48" s="20"/>
      <c r="AA48" s="15"/>
      <c r="AB48" s="21"/>
      <c r="AC48" s="18"/>
      <c r="AD48" s="15"/>
      <c r="AE48" s="20"/>
      <c r="AF48" s="15" t="s">
        <v>41</v>
      </c>
      <c r="AG48" s="21"/>
      <c r="AH48" s="18"/>
      <c r="AI48" s="15" t="s">
        <v>42</v>
      </c>
      <c r="AJ48" s="22"/>
    </row>
    <row r="49" spans="1:36" x14ac:dyDescent="0.3">
      <c r="A49" s="31">
        <v>48</v>
      </c>
      <c r="B49" s="15" t="s">
        <v>158</v>
      </c>
      <c r="C49" s="15" t="s">
        <v>159</v>
      </c>
      <c r="D49" s="33" t="s">
        <v>297</v>
      </c>
      <c r="E49" s="15" t="s">
        <v>160</v>
      </c>
      <c r="F49" s="34" t="s">
        <v>160</v>
      </c>
      <c r="G49" s="34">
        <f t="shared" si="0"/>
        <v>0</v>
      </c>
      <c r="H49" s="15" t="s">
        <v>161</v>
      </c>
      <c r="I49" s="16">
        <v>1000</v>
      </c>
      <c r="J49" s="15" t="s">
        <v>162</v>
      </c>
      <c r="K49" s="16">
        <v>1000</v>
      </c>
      <c r="L49" s="15" t="s">
        <v>127</v>
      </c>
      <c r="M49" s="17">
        <v>1.7577</v>
      </c>
      <c r="N49" s="18">
        <v>1757.7</v>
      </c>
      <c r="O49" s="17"/>
      <c r="P49" s="18"/>
      <c r="Q49" s="15" t="s">
        <v>39</v>
      </c>
      <c r="R49" s="19">
        <v>0</v>
      </c>
      <c r="S49" s="18"/>
      <c r="T49" s="15" t="s">
        <v>40</v>
      </c>
      <c r="U49" s="20"/>
      <c r="V49" s="21"/>
      <c r="W49" s="21"/>
      <c r="X49" s="18"/>
      <c r="Y49" s="15"/>
      <c r="Z49" s="20"/>
      <c r="AA49" s="15"/>
      <c r="AB49" s="21"/>
      <c r="AC49" s="18"/>
      <c r="AD49" s="15"/>
      <c r="AE49" s="20"/>
      <c r="AF49" s="15" t="s">
        <v>41</v>
      </c>
      <c r="AG49" s="21"/>
      <c r="AH49" s="18"/>
      <c r="AI49" s="15" t="s">
        <v>42</v>
      </c>
      <c r="AJ49" s="22"/>
    </row>
    <row r="50" spans="1:36" x14ac:dyDescent="0.3">
      <c r="A50" s="31">
        <v>49</v>
      </c>
      <c r="B50" s="15" t="s">
        <v>163</v>
      </c>
      <c r="C50" s="15" t="s">
        <v>164</v>
      </c>
      <c r="D50" s="33" t="s">
        <v>298</v>
      </c>
      <c r="E50" s="15" t="s">
        <v>165</v>
      </c>
      <c r="F50" s="34">
        <v>32050000</v>
      </c>
      <c r="G50" s="34">
        <f t="shared" si="0"/>
        <v>0</v>
      </c>
      <c r="H50" s="15" t="s">
        <v>36</v>
      </c>
      <c r="I50" s="16">
        <v>125</v>
      </c>
      <c r="J50" s="15" t="s">
        <v>162</v>
      </c>
      <c r="K50" s="16">
        <v>125</v>
      </c>
      <c r="L50" s="15" t="s">
        <v>127</v>
      </c>
      <c r="M50" s="17">
        <v>6.0419999999999998</v>
      </c>
      <c r="N50" s="18">
        <v>755.25</v>
      </c>
      <c r="O50" s="17"/>
      <c r="P50" s="18"/>
      <c r="Q50" s="15" t="s">
        <v>39</v>
      </c>
      <c r="R50" s="19">
        <v>0</v>
      </c>
      <c r="S50" s="18"/>
      <c r="T50" s="15" t="s">
        <v>40</v>
      </c>
      <c r="U50" s="20"/>
      <c r="V50" s="21"/>
      <c r="W50" s="21"/>
      <c r="X50" s="18"/>
      <c r="Y50" s="15"/>
      <c r="Z50" s="20"/>
      <c r="AA50" s="15"/>
      <c r="AB50" s="21"/>
      <c r="AC50" s="18"/>
      <c r="AD50" s="15"/>
      <c r="AE50" s="20"/>
      <c r="AF50" s="15" t="s">
        <v>41</v>
      </c>
      <c r="AG50" s="21"/>
      <c r="AH50" s="18"/>
      <c r="AI50" s="15" t="s">
        <v>42</v>
      </c>
      <c r="AJ50" s="22"/>
    </row>
    <row r="51" spans="1:36" x14ac:dyDescent="0.3">
      <c r="A51" s="31">
        <v>50</v>
      </c>
      <c r="B51" s="15" t="s">
        <v>166</v>
      </c>
      <c r="C51" s="15" t="s">
        <v>167</v>
      </c>
      <c r="D51" s="33" t="s">
        <v>299</v>
      </c>
      <c r="E51" s="15" t="s">
        <v>168</v>
      </c>
      <c r="F51" s="34" t="s">
        <v>168</v>
      </c>
      <c r="G51" s="34">
        <f t="shared" si="0"/>
        <v>0</v>
      </c>
      <c r="H51" s="15" t="s">
        <v>36</v>
      </c>
      <c r="I51" s="16">
        <v>1790</v>
      </c>
      <c r="J51" s="15" t="s">
        <v>37</v>
      </c>
      <c r="K51" s="16">
        <v>1790</v>
      </c>
      <c r="L51" s="15" t="s">
        <v>38</v>
      </c>
      <c r="M51" s="17">
        <v>1.5421</v>
      </c>
      <c r="N51" s="18">
        <v>2760.3589999999999</v>
      </c>
      <c r="O51" s="17"/>
      <c r="P51" s="18"/>
      <c r="Q51" s="15" t="s">
        <v>39</v>
      </c>
      <c r="R51" s="19">
        <v>0</v>
      </c>
      <c r="S51" s="18"/>
      <c r="T51" s="15" t="s">
        <v>40</v>
      </c>
      <c r="U51" s="20"/>
      <c r="V51" s="21"/>
      <c r="W51" s="21"/>
      <c r="X51" s="18"/>
      <c r="Y51" s="15"/>
      <c r="Z51" s="20"/>
      <c r="AA51" s="15"/>
      <c r="AB51" s="21"/>
      <c r="AC51" s="18"/>
      <c r="AD51" s="15"/>
      <c r="AE51" s="20"/>
      <c r="AF51" s="15" t="s">
        <v>41</v>
      </c>
      <c r="AG51" s="21"/>
      <c r="AH51" s="18"/>
      <c r="AI51" s="15" t="s">
        <v>42</v>
      </c>
      <c r="AJ51" s="22"/>
    </row>
    <row r="52" spans="1:36" x14ac:dyDescent="0.3">
      <c r="A52" s="31">
        <v>51</v>
      </c>
      <c r="B52" s="15" t="s">
        <v>169</v>
      </c>
      <c r="C52" s="15" t="s">
        <v>170</v>
      </c>
      <c r="D52" s="33" t="s">
        <v>299</v>
      </c>
      <c r="E52" s="15" t="s">
        <v>168</v>
      </c>
      <c r="F52" s="34" t="s">
        <v>168</v>
      </c>
      <c r="G52" s="34">
        <f t="shared" si="0"/>
        <v>0</v>
      </c>
      <c r="H52" s="15" t="s">
        <v>36</v>
      </c>
      <c r="I52" s="16">
        <v>1790</v>
      </c>
      <c r="J52" s="15" t="s">
        <v>37</v>
      </c>
      <c r="K52" s="16">
        <v>1790</v>
      </c>
      <c r="L52" s="15" t="s">
        <v>38</v>
      </c>
      <c r="M52" s="17">
        <v>1.2716000000000001</v>
      </c>
      <c r="N52" s="18">
        <v>2276.1640000000002</v>
      </c>
      <c r="O52" s="17"/>
      <c r="P52" s="18"/>
      <c r="Q52" s="15" t="s">
        <v>39</v>
      </c>
      <c r="R52" s="19">
        <v>0</v>
      </c>
      <c r="S52" s="18"/>
      <c r="T52" s="15" t="s">
        <v>40</v>
      </c>
      <c r="U52" s="20"/>
      <c r="V52" s="21"/>
      <c r="W52" s="21"/>
      <c r="X52" s="18"/>
      <c r="Y52" s="15"/>
      <c r="Z52" s="20"/>
      <c r="AA52" s="15"/>
      <c r="AB52" s="21"/>
      <c r="AC52" s="18"/>
      <c r="AD52" s="15"/>
      <c r="AE52" s="20"/>
      <c r="AF52" s="15" t="s">
        <v>41</v>
      </c>
      <c r="AG52" s="21"/>
      <c r="AH52" s="18"/>
      <c r="AI52" s="15" t="s">
        <v>42</v>
      </c>
      <c r="AJ52" s="22"/>
    </row>
    <row r="53" spans="1:36" x14ac:dyDescent="0.3">
      <c r="A53" s="31">
        <v>52</v>
      </c>
      <c r="B53" s="15" t="s">
        <v>171</v>
      </c>
      <c r="C53" s="15" t="s">
        <v>172</v>
      </c>
      <c r="D53" s="33" t="s">
        <v>299</v>
      </c>
      <c r="E53" s="15" t="s">
        <v>168</v>
      </c>
      <c r="F53" s="34" t="s">
        <v>168</v>
      </c>
      <c r="G53" s="34">
        <f t="shared" si="0"/>
        <v>0</v>
      </c>
      <c r="H53" s="15" t="s">
        <v>36</v>
      </c>
      <c r="I53" s="16">
        <v>1790</v>
      </c>
      <c r="J53" s="15" t="s">
        <v>37</v>
      </c>
      <c r="K53" s="16">
        <v>1790</v>
      </c>
      <c r="L53" s="15" t="s">
        <v>38</v>
      </c>
      <c r="M53" s="17">
        <v>1.4419</v>
      </c>
      <c r="N53" s="18">
        <v>2581.0010000000002</v>
      </c>
      <c r="O53" s="17"/>
      <c r="P53" s="18"/>
      <c r="Q53" s="15" t="s">
        <v>39</v>
      </c>
      <c r="R53" s="19">
        <v>0</v>
      </c>
      <c r="S53" s="18"/>
      <c r="T53" s="15" t="s">
        <v>40</v>
      </c>
      <c r="U53" s="20"/>
      <c r="V53" s="21"/>
      <c r="W53" s="21"/>
      <c r="X53" s="18"/>
      <c r="Y53" s="15"/>
      <c r="Z53" s="20"/>
      <c r="AA53" s="15"/>
      <c r="AB53" s="21"/>
      <c r="AC53" s="18"/>
      <c r="AD53" s="15"/>
      <c r="AE53" s="20"/>
      <c r="AF53" s="15" t="s">
        <v>41</v>
      </c>
      <c r="AG53" s="21"/>
      <c r="AH53" s="18"/>
      <c r="AI53" s="15" t="s">
        <v>42</v>
      </c>
      <c r="AJ53" s="22"/>
    </row>
    <row r="54" spans="1:36" x14ac:dyDescent="0.3">
      <c r="A54" s="31">
        <v>53</v>
      </c>
      <c r="B54" s="15" t="s">
        <v>173</v>
      </c>
      <c r="C54" s="15" t="s">
        <v>174</v>
      </c>
      <c r="D54" s="33" t="s">
        <v>299</v>
      </c>
      <c r="E54" s="15" t="s">
        <v>168</v>
      </c>
      <c r="F54" s="34" t="s">
        <v>168</v>
      </c>
      <c r="G54" s="34">
        <f t="shared" si="0"/>
        <v>0</v>
      </c>
      <c r="H54" s="15" t="s">
        <v>36</v>
      </c>
      <c r="I54" s="16">
        <v>1790</v>
      </c>
      <c r="J54" s="15" t="s">
        <v>37</v>
      </c>
      <c r="K54" s="16">
        <v>1790</v>
      </c>
      <c r="L54" s="15" t="s">
        <v>38</v>
      </c>
      <c r="M54" s="17">
        <v>1.2455000000000001</v>
      </c>
      <c r="N54" s="18">
        <v>2229.4450000000002</v>
      </c>
      <c r="O54" s="17"/>
      <c r="P54" s="18"/>
      <c r="Q54" s="15" t="s">
        <v>39</v>
      </c>
      <c r="R54" s="19">
        <v>0</v>
      </c>
      <c r="S54" s="18"/>
      <c r="T54" s="15" t="s">
        <v>40</v>
      </c>
      <c r="U54" s="20"/>
      <c r="V54" s="21"/>
      <c r="W54" s="21"/>
      <c r="X54" s="18"/>
      <c r="Y54" s="15"/>
      <c r="Z54" s="20"/>
      <c r="AA54" s="15"/>
      <c r="AB54" s="21"/>
      <c r="AC54" s="18"/>
      <c r="AD54" s="15"/>
      <c r="AE54" s="20"/>
      <c r="AF54" s="15" t="s">
        <v>41</v>
      </c>
      <c r="AG54" s="21"/>
      <c r="AH54" s="18"/>
      <c r="AI54" s="15" t="s">
        <v>42</v>
      </c>
      <c r="AJ54" s="22"/>
    </row>
    <row r="55" spans="1:36" x14ac:dyDescent="0.3">
      <c r="A55" s="31">
        <v>54</v>
      </c>
      <c r="B55" s="15" t="s">
        <v>175</v>
      </c>
      <c r="C55" s="15" t="s">
        <v>176</v>
      </c>
      <c r="D55" s="33" t="s">
        <v>300</v>
      </c>
      <c r="E55" s="15" t="s">
        <v>168</v>
      </c>
      <c r="F55" s="34" t="s">
        <v>168</v>
      </c>
      <c r="G55" s="34">
        <f t="shared" si="0"/>
        <v>0</v>
      </c>
      <c r="H55" s="15" t="s">
        <v>36</v>
      </c>
      <c r="I55" s="16">
        <v>1520</v>
      </c>
      <c r="J55" s="15" t="s">
        <v>37</v>
      </c>
      <c r="K55" s="16">
        <v>1520</v>
      </c>
      <c r="L55" s="15" t="s">
        <v>38</v>
      </c>
      <c r="M55" s="17">
        <v>0.47510000000000002</v>
      </c>
      <c r="N55" s="18">
        <v>722.15200000000004</v>
      </c>
      <c r="O55" s="17"/>
      <c r="P55" s="18"/>
      <c r="Q55" s="15" t="s">
        <v>39</v>
      </c>
      <c r="R55" s="19">
        <v>0</v>
      </c>
      <c r="S55" s="18"/>
      <c r="T55" s="15" t="s">
        <v>40</v>
      </c>
      <c r="U55" s="20"/>
      <c r="V55" s="21"/>
      <c r="W55" s="21"/>
      <c r="X55" s="18"/>
      <c r="Y55" s="15"/>
      <c r="Z55" s="20"/>
      <c r="AA55" s="15"/>
      <c r="AB55" s="21"/>
      <c r="AC55" s="18"/>
      <c r="AD55" s="15"/>
      <c r="AE55" s="20"/>
      <c r="AF55" s="15" t="s">
        <v>41</v>
      </c>
      <c r="AG55" s="21"/>
      <c r="AH55" s="18"/>
      <c r="AI55" s="15" t="s">
        <v>42</v>
      </c>
      <c r="AJ55" s="22"/>
    </row>
    <row r="56" spans="1:36" x14ac:dyDescent="0.3">
      <c r="A56" s="31">
        <v>55</v>
      </c>
      <c r="B56" s="15" t="s">
        <v>177</v>
      </c>
      <c r="C56" s="15" t="s">
        <v>178</v>
      </c>
      <c r="D56" s="33" t="s">
        <v>300</v>
      </c>
      <c r="E56" s="15" t="s">
        <v>168</v>
      </c>
      <c r="F56" s="34" t="s">
        <v>168</v>
      </c>
      <c r="G56" s="34">
        <f t="shared" si="0"/>
        <v>0</v>
      </c>
      <c r="H56" s="15" t="s">
        <v>36</v>
      </c>
      <c r="I56" s="16">
        <v>1520</v>
      </c>
      <c r="J56" s="15" t="s">
        <v>37</v>
      </c>
      <c r="K56" s="16">
        <v>1520</v>
      </c>
      <c r="L56" s="15" t="s">
        <v>38</v>
      </c>
      <c r="M56" s="17">
        <v>0.47510000000000002</v>
      </c>
      <c r="N56" s="18">
        <v>722.15200000000004</v>
      </c>
      <c r="O56" s="17"/>
      <c r="P56" s="18"/>
      <c r="Q56" s="15" t="s">
        <v>39</v>
      </c>
      <c r="R56" s="19">
        <v>0</v>
      </c>
      <c r="S56" s="18"/>
      <c r="T56" s="15" t="s">
        <v>40</v>
      </c>
      <c r="U56" s="20"/>
      <c r="V56" s="21"/>
      <c r="W56" s="21"/>
      <c r="X56" s="18"/>
      <c r="Y56" s="15"/>
      <c r="Z56" s="20"/>
      <c r="AA56" s="15"/>
      <c r="AB56" s="21"/>
      <c r="AC56" s="18"/>
      <c r="AD56" s="15"/>
      <c r="AE56" s="20"/>
      <c r="AF56" s="15" t="s">
        <v>41</v>
      </c>
      <c r="AG56" s="21"/>
      <c r="AH56" s="18"/>
      <c r="AI56" s="15" t="s">
        <v>42</v>
      </c>
      <c r="AJ56" s="22"/>
    </row>
    <row r="57" spans="1:36" x14ac:dyDescent="0.3">
      <c r="A57" s="31">
        <v>56</v>
      </c>
      <c r="B57" s="15" t="s">
        <v>179</v>
      </c>
      <c r="C57" s="15" t="s">
        <v>180</v>
      </c>
      <c r="D57" s="33" t="s">
        <v>300</v>
      </c>
      <c r="E57" s="15" t="s">
        <v>168</v>
      </c>
      <c r="F57" s="34" t="s">
        <v>168</v>
      </c>
      <c r="G57" s="34">
        <f t="shared" si="0"/>
        <v>0</v>
      </c>
      <c r="H57" s="15" t="s">
        <v>36</v>
      </c>
      <c r="I57" s="16">
        <v>1520</v>
      </c>
      <c r="J57" s="15" t="s">
        <v>37</v>
      </c>
      <c r="K57" s="16">
        <v>1520</v>
      </c>
      <c r="L57" s="15" t="s">
        <v>38</v>
      </c>
      <c r="M57" s="17">
        <v>0.35149999999999998</v>
      </c>
      <c r="N57" s="18">
        <v>534.28</v>
      </c>
      <c r="O57" s="17"/>
      <c r="P57" s="18"/>
      <c r="Q57" s="15" t="s">
        <v>39</v>
      </c>
      <c r="R57" s="19">
        <v>0</v>
      </c>
      <c r="S57" s="18"/>
      <c r="T57" s="15" t="s">
        <v>40</v>
      </c>
      <c r="U57" s="20"/>
      <c r="V57" s="21"/>
      <c r="W57" s="21"/>
      <c r="X57" s="18"/>
      <c r="Y57" s="15"/>
      <c r="Z57" s="20"/>
      <c r="AA57" s="15"/>
      <c r="AB57" s="21"/>
      <c r="AC57" s="18"/>
      <c r="AD57" s="15"/>
      <c r="AE57" s="20"/>
      <c r="AF57" s="15" t="s">
        <v>41</v>
      </c>
      <c r="AG57" s="21"/>
      <c r="AH57" s="18"/>
      <c r="AI57" s="15" t="s">
        <v>42</v>
      </c>
      <c r="AJ57" s="22"/>
    </row>
    <row r="58" spans="1:36" x14ac:dyDescent="0.3">
      <c r="A58" s="31">
        <v>57</v>
      </c>
      <c r="B58" s="15" t="s">
        <v>181</v>
      </c>
      <c r="C58" s="15" t="s">
        <v>182</v>
      </c>
      <c r="D58" s="33" t="s">
        <v>300</v>
      </c>
      <c r="E58" s="15" t="s">
        <v>168</v>
      </c>
      <c r="F58" s="34" t="s">
        <v>168</v>
      </c>
      <c r="G58" s="34">
        <f t="shared" si="0"/>
        <v>0</v>
      </c>
      <c r="H58" s="15" t="s">
        <v>36</v>
      </c>
      <c r="I58" s="16">
        <v>1520</v>
      </c>
      <c r="J58" s="15" t="s">
        <v>37</v>
      </c>
      <c r="K58" s="16">
        <v>1520</v>
      </c>
      <c r="L58" s="15" t="s">
        <v>38</v>
      </c>
      <c r="M58" s="17">
        <v>0.35149999999999998</v>
      </c>
      <c r="N58" s="18">
        <v>534.28</v>
      </c>
      <c r="O58" s="17"/>
      <c r="P58" s="18"/>
      <c r="Q58" s="15" t="s">
        <v>39</v>
      </c>
      <c r="R58" s="19">
        <v>0</v>
      </c>
      <c r="S58" s="18"/>
      <c r="T58" s="15" t="s">
        <v>40</v>
      </c>
      <c r="U58" s="20"/>
      <c r="V58" s="21"/>
      <c r="W58" s="21"/>
      <c r="X58" s="18"/>
      <c r="Y58" s="15"/>
      <c r="Z58" s="20"/>
      <c r="AA58" s="15"/>
      <c r="AB58" s="21"/>
      <c r="AC58" s="18"/>
      <c r="AD58" s="15"/>
      <c r="AE58" s="20"/>
      <c r="AF58" s="15" t="s">
        <v>41</v>
      </c>
      <c r="AG58" s="21"/>
      <c r="AH58" s="18"/>
      <c r="AI58" s="15" t="s">
        <v>42</v>
      </c>
      <c r="AJ58" s="22"/>
    </row>
    <row r="59" spans="1:36" x14ac:dyDescent="0.3">
      <c r="A59" s="31">
        <v>58</v>
      </c>
      <c r="B59" s="15" t="s">
        <v>183</v>
      </c>
      <c r="C59" s="15" t="s">
        <v>184</v>
      </c>
      <c r="D59" s="33" t="s">
        <v>301</v>
      </c>
      <c r="E59" s="15" t="s">
        <v>168</v>
      </c>
      <c r="F59" s="34" t="s">
        <v>168</v>
      </c>
      <c r="G59" s="34">
        <f t="shared" si="0"/>
        <v>0</v>
      </c>
      <c r="H59" s="15" t="s">
        <v>36</v>
      </c>
      <c r="I59" s="16">
        <v>3217</v>
      </c>
      <c r="J59" s="15" t="s">
        <v>37</v>
      </c>
      <c r="K59" s="16">
        <v>3217</v>
      </c>
      <c r="L59" s="15" t="s">
        <v>38</v>
      </c>
      <c r="M59" s="17">
        <v>0.56579999999999997</v>
      </c>
      <c r="N59" s="18">
        <v>1820.1786</v>
      </c>
      <c r="O59" s="17"/>
      <c r="P59" s="18"/>
      <c r="Q59" s="15" t="s">
        <v>39</v>
      </c>
      <c r="R59" s="19">
        <v>0</v>
      </c>
      <c r="S59" s="18"/>
      <c r="T59" s="15" t="s">
        <v>40</v>
      </c>
      <c r="U59" s="20"/>
      <c r="V59" s="21"/>
      <c r="W59" s="21"/>
      <c r="X59" s="18"/>
      <c r="Y59" s="15"/>
      <c r="Z59" s="20"/>
      <c r="AA59" s="15"/>
      <c r="AB59" s="21"/>
      <c r="AC59" s="18"/>
      <c r="AD59" s="15"/>
      <c r="AE59" s="20"/>
      <c r="AF59" s="15" t="s">
        <v>41</v>
      </c>
      <c r="AG59" s="21"/>
      <c r="AH59" s="18"/>
      <c r="AI59" s="15" t="s">
        <v>42</v>
      </c>
      <c r="AJ59" s="22"/>
    </row>
    <row r="60" spans="1:36" x14ac:dyDescent="0.3">
      <c r="A60" s="31">
        <v>59</v>
      </c>
      <c r="B60" s="15" t="s">
        <v>185</v>
      </c>
      <c r="C60" s="15" t="s">
        <v>186</v>
      </c>
      <c r="D60" s="33" t="s">
        <v>301</v>
      </c>
      <c r="E60" s="15" t="s">
        <v>168</v>
      </c>
      <c r="F60" s="34" t="s">
        <v>168</v>
      </c>
      <c r="G60" s="34">
        <f t="shared" si="0"/>
        <v>0</v>
      </c>
      <c r="H60" s="15" t="s">
        <v>36</v>
      </c>
      <c r="I60" s="16">
        <v>1400</v>
      </c>
      <c r="J60" s="15" t="s">
        <v>37</v>
      </c>
      <c r="K60" s="16">
        <v>1400</v>
      </c>
      <c r="L60" s="15" t="s">
        <v>38</v>
      </c>
      <c r="M60" s="17">
        <v>0.39679999999999999</v>
      </c>
      <c r="N60" s="18">
        <v>555.52</v>
      </c>
      <c r="O60" s="17"/>
      <c r="P60" s="18"/>
      <c r="Q60" s="15" t="s">
        <v>39</v>
      </c>
      <c r="R60" s="19">
        <v>0</v>
      </c>
      <c r="S60" s="18"/>
      <c r="T60" s="15" t="s">
        <v>40</v>
      </c>
      <c r="U60" s="20"/>
      <c r="V60" s="21"/>
      <c r="W60" s="21"/>
      <c r="X60" s="18"/>
      <c r="Y60" s="15"/>
      <c r="Z60" s="20"/>
      <c r="AA60" s="15"/>
      <c r="AB60" s="21"/>
      <c r="AC60" s="18"/>
      <c r="AD60" s="15"/>
      <c r="AE60" s="20"/>
      <c r="AF60" s="15" t="s">
        <v>41</v>
      </c>
      <c r="AG60" s="21"/>
      <c r="AH60" s="18"/>
      <c r="AI60" s="15" t="s">
        <v>42</v>
      </c>
      <c r="AJ60" s="22"/>
    </row>
    <row r="61" spans="1:36" x14ac:dyDescent="0.3">
      <c r="A61" s="31">
        <v>60</v>
      </c>
      <c r="B61" s="15" t="s">
        <v>187</v>
      </c>
      <c r="C61" s="15" t="s">
        <v>188</v>
      </c>
      <c r="D61" s="33" t="s">
        <v>302</v>
      </c>
      <c r="E61" s="15" t="s">
        <v>168</v>
      </c>
      <c r="F61" s="34" t="s">
        <v>168</v>
      </c>
      <c r="G61" s="34">
        <f t="shared" si="0"/>
        <v>0</v>
      </c>
      <c r="H61" s="15" t="s">
        <v>36</v>
      </c>
      <c r="I61" s="16">
        <v>6500</v>
      </c>
      <c r="J61" s="15" t="s">
        <v>37</v>
      </c>
      <c r="K61" s="16">
        <v>6500</v>
      </c>
      <c r="L61" s="15" t="s">
        <v>38</v>
      </c>
      <c r="M61" s="17">
        <v>0.39679999999999999</v>
      </c>
      <c r="N61" s="18">
        <v>2579.1999999999998</v>
      </c>
      <c r="O61" s="17"/>
      <c r="P61" s="18"/>
      <c r="Q61" s="15" t="s">
        <v>39</v>
      </c>
      <c r="R61" s="19">
        <v>0</v>
      </c>
      <c r="S61" s="18"/>
      <c r="T61" s="15" t="s">
        <v>40</v>
      </c>
      <c r="U61" s="20"/>
      <c r="V61" s="21"/>
      <c r="W61" s="21"/>
      <c r="X61" s="18"/>
      <c r="Y61" s="15"/>
      <c r="Z61" s="20"/>
      <c r="AA61" s="15"/>
      <c r="AB61" s="21"/>
      <c r="AC61" s="18"/>
      <c r="AD61" s="15"/>
      <c r="AE61" s="20"/>
      <c r="AF61" s="15" t="s">
        <v>41</v>
      </c>
      <c r="AG61" s="21"/>
      <c r="AH61" s="18"/>
      <c r="AI61" s="15" t="s">
        <v>42</v>
      </c>
      <c r="AJ61" s="22"/>
    </row>
    <row r="62" spans="1:36" x14ac:dyDescent="0.3">
      <c r="A62" s="31">
        <v>61</v>
      </c>
      <c r="B62" s="15" t="s">
        <v>189</v>
      </c>
      <c r="C62" s="15" t="s">
        <v>190</v>
      </c>
      <c r="D62" s="33" t="s">
        <v>303</v>
      </c>
      <c r="E62" s="15" t="s">
        <v>168</v>
      </c>
      <c r="F62" s="34" t="s">
        <v>168</v>
      </c>
      <c r="G62" s="34">
        <f t="shared" si="0"/>
        <v>0</v>
      </c>
      <c r="H62" s="15" t="s">
        <v>36</v>
      </c>
      <c r="I62" s="16">
        <v>1000</v>
      </c>
      <c r="J62" s="15" t="s">
        <v>37</v>
      </c>
      <c r="K62" s="16">
        <v>1000</v>
      </c>
      <c r="L62" s="15" t="s">
        <v>38</v>
      </c>
      <c r="M62" s="17">
        <v>0.64270000000000005</v>
      </c>
      <c r="N62" s="18">
        <v>642.70000000000005</v>
      </c>
      <c r="O62" s="17"/>
      <c r="P62" s="18"/>
      <c r="Q62" s="15" t="s">
        <v>39</v>
      </c>
      <c r="R62" s="19">
        <v>0</v>
      </c>
      <c r="S62" s="18"/>
      <c r="T62" s="15" t="s">
        <v>40</v>
      </c>
      <c r="U62" s="20"/>
      <c r="V62" s="21"/>
      <c r="W62" s="21"/>
      <c r="X62" s="18"/>
      <c r="Y62" s="15"/>
      <c r="Z62" s="20"/>
      <c r="AA62" s="15"/>
      <c r="AB62" s="21"/>
      <c r="AC62" s="18"/>
      <c r="AD62" s="15"/>
      <c r="AE62" s="20"/>
      <c r="AF62" s="15" t="s">
        <v>41</v>
      </c>
      <c r="AG62" s="21"/>
      <c r="AH62" s="18"/>
      <c r="AI62" s="15" t="s">
        <v>42</v>
      </c>
      <c r="AJ62" s="22"/>
    </row>
    <row r="63" spans="1:36" x14ac:dyDescent="0.3">
      <c r="A63" s="31">
        <v>62</v>
      </c>
      <c r="B63" s="15" t="s">
        <v>191</v>
      </c>
      <c r="C63" s="15" t="s">
        <v>192</v>
      </c>
      <c r="D63" s="33" t="s">
        <v>304</v>
      </c>
      <c r="E63" s="15" t="s">
        <v>193</v>
      </c>
      <c r="F63" s="34">
        <v>40169390</v>
      </c>
      <c r="G63" s="34">
        <f t="shared" si="0"/>
        <v>0</v>
      </c>
      <c r="H63" s="15" t="s">
        <v>36</v>
      </c>
      <c r="I63" s="16">
        <v>10000</v>
      </c>
      <c r="J63" s="15" t="s">
        <v>37</v>
      </c>
      <c r="K63" s="16">
        <v>10000</v>
      </c>
      <c r="L63" s="15" t="s">
        <v>38</v>
      </c>
      <c r="M63" s="17">
        <v>1.9699999999999999E-2</v>
      </c>
      <c r="N63" s="18">
        <v>197</v>
      </c>
      <c r="O63" s="17"/>
      <c r="P63" s="18"/>
      <c r="Q63" s="15" t="s">
        <v>39</v>
      </c>
      <c r="R63" s="19">
        <v>0</v>
      </c>
      <c r="S63" s="18"/>
      <c r="T63" s="15" t="s">
        <v>40</v>
      </c>
      <c r="U63" s="20"/>
      <c r="V63" s="21"/>
      <c r="W63" s="21"/>
      <c r="X63" s="18"/>
      <c r="Y63" s="15"/>
      <c r="Z63" s="20"/>
      <c r="AA63" s="15"/>
      <c r="AB63" s="21"/>
      <c r="AC63" s="18"/>
      <c r="AD63" s="15"/>
      <c r="AE63" s="20"/>
      <c r="AF63" s="15" t="s">
        <v>41</v>
      </c>
      <c r="AG63" s="21"/>
      <c r="AH63" s="18"/>
      <c r="AI63" s="15" t="s">
        <v>42</v>
      </c>
      <c r="AJ63" s="22"/>
    </row>
    <row r="64" spans="1:36" x14ac:dyDescent="0.3">
      <c r="A64" s="31">
        <v>63</v>
      </c>
      <c r="B64" s="15" t="s">
        <v>194</v>
      </c>
      <c r="C64" s="15" t="s">
        <v>195</v>
      </c>
      <c r="D64" s="33" t="s">
        <v>304</v>
      </c>
      <c r="E64" s="15" t="s">
        <v>193</v>
      </c>
      <c r="F64" s="34">
        <v>40169390</v>
      </c>
      <c r="G64" s="34">
        <f t="shared" si="0"/>
        <v>0</v>
      </c>
      <c r="H64" s="15" t="s">
        <v>36</v>
      </c>
      <c r="I64" s="16">
        <v>10000</v>
      </c>
      <c r="J64" s="15" t="s">
        <v>37</v>
      </c>
      <c r="K64" s="16">
        <v>10000</v>
      </c>
      <c r="L64" s="15" t="s">
        <v>38</v>
      </c>
      <c r="M64" s="17">
        <v>6.5500000000000003E-2</v>
      </c>
      <c r="N64" s="18">
        <v>655</v>
      </c>
      <c r="O64" s="17"/>
      <c r="P64" s="18"/>
      <c r="Q64" s="15" t="s">
        <v>39</v>
      </c>
      <c r="R64" s="19">
        <v>0</v>
      </c>
      <c r="S64" s="18"/>
      <c r="T64" s="15" t="s">
        <v>40</v>
      </c>
      <c r="U64" s="20"/>
      <c r="V64" s="21"/>
      <c r="W64" s="21"/>
      <c r="X64" s="18"/>
      <c r="Y64" s="15"/>
      <c r="Z64" s="20"/>
      <c r="AA64" s="15"/>
      <c r="AB64" s="21"/>
      <c r="AC64" s="18"/>
      <c r="AD64" s="15"/>
      <c r="AE64" s="20"/>
      <c r="AF64" s="15" t="s">
        <v>41</v>
      </c>
      <c r="AG64" s="21"/>
      <c r="AH64" s="18"/>
      <c r="AI64" s="15" t="s">
        <v>42</v>
      </c>
      <c r="AJ64" s="22"/>
    </row>
    <row r="65" spans="1:36" x14ac:dyDescent="0.3">
      <c r="A65" s="31">
        <v>64</v>
      </c>
      <c r="B65" s="15" t="s">
        <v>196</v>
      </c>
      <c r="C65" s="15" t="s">
        <v>197</v>
      </c>
      <c r="D65" s="33" t="s">
        <v>304</v>
      </c>
      <c r="E65" s="15" t="s">
        <v>193</v>
      </c>
      <c r="F65" s="34">
        <v>40169390</v>
      </c>
      <c r="G65" s="34">
        <f t="shared" si="0"/>
        <v>0</v>
      </c>
      <c r="H65" s="15" t="s">
        <v>36</v>
      </c>
      <c r="I65" s="16">
        <v>1000</v>
      </c>
      <c r="J65" s="15" t="s">
        <v>37</v>
      </c>
      <c r="K65" s="16">
        <v>1000</v>
      </c>
      <c r="L65" s="15" t="s">
        <v>38</v>
      </c>
      <c r="M65" s="17">
        <v>3.7600000000000001E-2</v>
      </c>
      <c r="N65" s="18">
        <v>37.6</v>
      </c>
      <c r="O65" s="17"/>
      <c r="P65" s="18"/>
      <c r="Q65" s="15" t="s">
        <v>39</v>
      </c>
      <c r="R65" s="19">
        <v>0</v>
      </c>
      <c r="S65" s="18"/>
      <c r="T65" s="15" t="s">
        <v>40</v>
      </c>
      <c r="U65" s="20"/>
      <c r="V65" s="21"/>
      <c r="W65" s="21"/>
      <c r="X65" s="18"/>
      <c r="Y65" s="15"/>
      <c r="Z65" s="20"/>
      <c r="AA65" s="15"/>
      <c r="AB65" s="21"/>
      <c r="AC65" s="18"/>
      <c r="AD65" s="15"/>
      <c r="AE65" s="20"/>
      <c r="AF65" s="15" t="s">
        <v>41</v>
      </c>
      <c r="AG65" s="21"/>
      <c r="AH65" s="18"/>
      <c r="AI65" s="15" t="s">
        <v>42</v>
      </c>
      <c r="AJ65" s="22"/>
    </row>
    <row r="66" spans="1:36" x14ac:dyDescent="0.3">
      <c r="A66" s="31">
        <v>65</v>
      </c>
      <c r="B66" s="15" t="s">
        <v>198</v>
      </c>
      <c r="C66" s="15" t="s">
        <v>199</v>
      </c>
      <c r="D66" s="33" t="s">
        <v>305</v>
      </c>
      <c r="E66" s="15" t="s">
        <v>193</v>
      </c>
      <c r="F66" s="34" t="s">
        <v>193</v>
      </c>
      <c r="G66" s="34">
        <f t="shared" si="0"/>
        <v>0</v>
      </c>
      <c r="H66" s="15" t="s">
        <v>36</v>
      </c>
      <c r="I66" s="16">
        <v>71700</v>
      </c>
      <c r="J66" s="15" t="s">
        <v>37</v>
      </c>
      <c r="K66" s="16">
        <v>71700</v>
      </c>
      <c r="L66" s="15" t="s">
        <v>38</v>
      </c>
      <c r="M66" s="17">
        <v>1.5100000000000001E-2</v>
      </c>
      <c r="N66" s="18">
        <v>1082.67</v>
      </c>
      <c r="O66" s="17"/>
      <c r="P66" s="18"/>
      <c r="Q66" s="15" t="s">
        <v>39</v>
      </c>
      <c r="R66" s="19">
        <v>0</v>
      </c>
      <c r="S66" s="18"/>
      <c r="T66" s="15" t="s">
        <v>40</v>
      </c>
      <c r="U66" s="20"/>
      <c r="V66" s="21"/>
      <c r="W66" s="21"/>
      <c r="X66" s="18"/>
      <c r="Y66" s="15"/>
      <c r="Z66" s="20"/>
      <c r="AA66" s="15"/>
      <c r="AB66" s="21"/>
      <c r="AC66" s="18"/>
      <c r="AD66" s="15"/>
      <c r="AE66" s="20"/>
      <c r="AF66" s="15" t="s">
        <v>41</v>
      </c>
      <c r="AG66" s="21"/>
      <c r="AH66" s="18"/>
      <c r="AI66" s="15" t="s">
        <v>42</v>
      </c>
      <c r="AJ66" s="22"/>
    </row>
    <row r="67" spans="1:36" x14ac:dyDescent="0.3">
      <c r="A67" s="31">
        <v>66</v>
      </c>
      <c r="B67" s="15" t="s">
        <v>200</v>
      </c>
      <c r="C67" s="15" t="s">
        <v>201</v>
      </c>
      <c r="D67" s="33" t="s">
        <v>306</v>
      </c>
      <c r="E67" s="15" t="s">
        <v>202</v>
      </c>
      <c r="F67" s="34" t="s">
        <v>202</v>
      </c>
      <c r="G67" s="34">
        <f t="shared" ref="G67:G95" si="1">E67-F67</f>
        <v>0</v>
      </c>
      <c r="H67" s="15" t="s">
        <v>36</v>
      </c>
      <c r="I67" s="16">
        <v>230900</v>
      </c>
      <c r="J67" s="15" t="s">
        <v>37</v>
      </c>
      <c r="K67" s="16">
        <v>230900</v>
      </c>
      <c r="L67" s="15" t="s">
        <v>38</v>
      </c>
      <c r="M67" s="17">
        <v>9.9000000000000008E-3</v>
      </c>
      <c r="N67" s="18">
        <v>2285.91</v>
      </c>
      <c r="O67" s="17"/>
      <c r="P67" s="18"/>
      <c r="Q67" s="15" t="s">
        <v>39</v>
      </c>
      <c r="R67" s="19">
        <v>0</v>
      </c>
      <c r="S67" s="18"/>
      <c r="T67" s="15" t="s">
        <v>40</v>
      </c>
      <c r="U67" s="20"/>
      <c r="V67" s="21"/>
      <c r="W67" s="21"/>
      <c r="X67" s="18"/>
      <c r="Y67" s="15"/>
      <c r="Z67" s="20"/>
      <c r="AA67" s="15"/>
      <c r="AB67" s="21"/>
      <c r="AC67" s="18"/>
      <c r="AD67" s="15"/>
      <c r="AE67" s="20"/>
      <c r="AF67" s="15" t="s">
        <v>41</v>
      </c>
      <c r="AG67" s="21"/>
      <c r="AH67" s="18"/>
      <c r="AI67" s="15" t="s">
        <v>42</v>
      </c>
      <c r="AJ67" s="22"/>
    </row>
    <row r="68" spans="1:36" x14ac:dyDescent="0.3">
      <c r="A68" s="31">
        <v>67</v>
      </c>
      <c r="B68" s="15" t="s">
        <v>203</v>
      </c>
      <c r="C68" s="15" t="s">
        <v>204</v>
      </c>
      <c r="D68" s="33" t="s">
        <v>306</v>
      </c>
      <c r="E68" s="15" t="s">
        <v>202</v>
      </c>
      <c r="F68" s="34" t="s">
        <v>202</v>
      </c>
      <c r="G68" s="34">
        <f t="shared" si="1"/>
        <v>0</v>
      </c>
      <c r="H68" s="15" t="s">
        <v>36</v>
      </c>
      <c r="I68" s="16">
        <v>108600</v>
      </c>
      <c r="J68" s="15" t="s">
        <v>37</v>
      </c>
      <c r="K68" s="16">
        <v>108600</v>
      </c>
      <c r="L68" s="15" t="s">
        <v>38</v>
      </c>
      <c r="M68" s="17">
        <v>1.0200000000000001E-2</v>
      </c>
      <c r="N68" s="18">
        <v>1107.72</v>
      </c>
      <c r="O68" s="17"/>
      <c r="P68" s="18"/>
      <c r="Q68" s="15" t="s">
        <v>39</v>
      </c>
      <c r="R68" s="19">
        <v>0</v>
      </c>
      <c r="S68" s="18"/>
      <c r="T68" s="15" t="s">
        <v>40</v>
      </c>
      <c r="U68" s="20"/>
      <c r="V68" s="21"/>
      <c r="W68" s="21"/>
      <c r="X68" s="18"/>
      <c r="Y68" s="15"/>
      <c r="Z68" s="20"/>
      <c r="AA68" s="15"/>
      <c r="AB68" s="21"/>
      <c r="AC68" s="18"/>
      <c r="AD68" s="15"/>
      <c r="AE68" s="20"/>
      <c r="AF68" s="15" t="s">
        <v>41</v>
      </c>
      <c r="AG68" s="21"/>
      <c r="AH68" s="18"/>
      <c r="AI68" s="15" t="s">
        <v>42</v>
      </c>
      <c r="AJ68" s="22"/>
    </row>
    <row r="69" spans="1:36" x14ac:dyDescent="0.3">
      <c r="A69" s="31">
        <v>68</v>
      </c>
      <c r="B69" s="15" t="s">
        <v>205</v>
      </c>
      <c r="C69" s="15" t="s">
        <v>206</v>
      </c>
      <c r="D69" s="33" t="s">
        <v>307</v>
      </c>
      <c r="E69" s="15" t="s">
        <v>202</v>
      </c>
      <c r="F69" s="34">
        <v>40169999</v>
      </c>
      <c r="G69" s="34">
        <f t="shared" si="1"/>
        <v>0</v>
      </c>
      <c r="H69" s="15" t="s">
        <v>36</v>
      </c>
      <c r="I69" s="16">
        <v>23600</v>
      </c>
      <c r="J69" s="15" t="s">
        <v>37</v>
      </c>
      <c r="K69" s="16">
        <v>23600</v>
      </c>
      <c r="L69" s="15" t="s">
        <v>38</v>
      </c>
      <c r="M69" s="17">
        <v>0.67190000000000005</v>
      </c>
      <c r="N69" s="18">
        <v>15856.84</v>
      </c>
      <c r="O69" s="17"/>
      <c r="P69" s="18"/>
      <c r="Q69" s="15" t="s">
        <v>39</v>
      </c>
      <c r="R69" s="19">
        <v>0</v>
      </c>
      <c r="S69" s="18"/>
      <c r="T69" s="15" t="s">
        <v>40</v>
      </c>
      <c r="U69" s="20"/>
      <c r="V69" s="21"/>
      <c r="W69" s="21"/>
      <c r="X69" s="18"/>
      <c r="Y69" s="15"/>
      <c r="Z69" s="20"/>
      <c r="AA69" s="15"/>
      <c r="AB69" s="21"/>
      <c r="AC69" s="18"/>
      <c r="AD69" s="15"/>
      <c r="AE69" s="20"/>
      <c r="AF69" s="15" t="s">
        <v>41</v>
      </c>
      <c r="AG69" s="21"/>
      <c r="AH69" s="18"/>
      <c r="AI69" s="15" t="s">
        <v>42</v>
      </c>
      <c r="AJ69" s="22"/>
    </row>
    <row r="70" spans="1:36" x14ac:dyDescent="0.3">
      <c r="A70" s="31">
        <v>69</v>
      </c>
      <c r="B70" s="15" t="s">
        <v>207</v>
      </c>
      <c r="C70" s="15" t="s">
        <v>208</v>
      </c>
      <c r="D70" s="33" t="s">
        <v>308</v>
      </c>
      <c r="E70" s="15" t="s">
        <v>202</v>
      </c>
      <c r="F70" s="34" t="s">
        <v>202</v>
      </c>
      <c r="G70" s="34">
        <f t="shared" si="1"/>
        <v>0</v>
      </c>
      <c r="H70" s="15" t="s">
        <v>36</v>
      </c>
      <c r="I70" s="16">
        <v>6000</v>
      </c>
      <c r="J70" s="15" t="s">
        <v>37</v>
      </c>
      <c r="K70" s="16">
        <v>6000</v>
      </c>
      <c r="L70" s="15" t="s">
        <v>38</v>
      </c>
      <c r="M70" s="17">
        <v>0.3528</v>
      </c>
      <c r="N70" s="18">
        <v>2116.8000000000002</v>
      </c>
      <c r="O70" s="17"/>
      <c r="P70" s="18"/>
      <c r="Q70" s="15" t="s">
        <v>39</v>
      </c>
      <c r="R70" s="19">
        <v>0</v>
      </c>
      <c r="S70" s="18"/>
      <c r="T70" s="15" t="s">
        <v>40</v>
      </c>
      <c r="U70" s="20"/>
      <c r="V70" s="21"/>
      <c r="W70" s="21"/>
      <c r="X70" s="18"/>
      <c r="Y70" s="15"/>
      <c r="Z70" s="20"/>
      <c r="AA70" s="15"/>
      <c r="AB70" s="21"/>
      <c r="AC70" s="18"/>
      <c r="AD70" s="15"/>
      <c r="AE70" s="20"/>
      <c r="AF70" s="15" t="s">
        <v>41</v>
      </c>
      <c r="AG70" s="21"/>
      <c r="AH70" s="18"/>
      <c r="AI70" s="15" t="s">
        <v>42</v>
      </c>
      <c r="AJ70" s="22"/>
    </row>
    <row r="71" spans="1:36" x14ac:dyDescent="0.3">
      <c r="A71" s="31">
        <v>70</v>
      </c>
      <c r="B71" s="15" t="s">
        <v>209</v>
      </c>
      <c r="C71" s="15" t="s">
        <v>210</v>
      </c>
      <c r="D71" s="33" t="s">
        <v>309</v>
      </c>
      <c r="E71" s="15" t="s">
        <v>211</v>
      </c>
      <c r="F71" s="34" t="s">
        <v>211</v>
      </c>
      <c r="G71" s="34">
        <f t="shared" si="1"/>
        <v>0</v>
      </c>
      <c r="H71" s="15" t="s">
        <v>36</v>
      </c>
      <c r="I71" s="16">
        <v>67600</v>
      </c>
      <c r="J71" s="15" t="s">
        <v>37</v>
      </c>
      <c r="K71" s="16">
        <v>67600</v>
      </c>
      <c r="L71" s="15" t="s">
        <v>38</v>
      </c>
      <c r="M71" s="17">
        <v>2.4199999999999999E-2</v>
      </c>
      <c r="N71" s="18">
        <v>1635.92</v>
      </c>
      <c r="O71" s="17"/>
      <c r="P71" s="18"/>
      <c r="Q71" s="15" t="s">
        <v>39</v>
      </c>
      <c r="R71" s="19">
        <v>0</v>
      </c>
      <c r="S71" s="18"/>
      <c r="T71" s="15" t="s">
        <v>40</v>
      </c>
      <c r="U71" s="20"/>
      <c r="V71" s="21"/>
      <c r="W71" s="21"/>
      <c r="X71" s="18"/>
      <c r="Y71" s="15"/>
      <c r="Z71" s="20"/>
      <c r="AA71" s="15"/>
      <c r="AB71" s="21"/>
      <c r="AC71" s="18"/>
      <c r="AD71" s="15"/>
      <c r="AE71" s="20"/>
      <c r="AF71" s="15" t="s">
        <v>41</v>
      </c>
      <c r="AG71" s="21"/>
      <c r="AH71" s="18"/>
      <c r="AI71" s="15" t="s">
        <v>42</v>
      </c>
      <c r="AJ71" s="22"/>
    </row>
    <row r="72" spans="1:36" x14ac:dyDescent="0.3">
      <c r="A72" s="31">
        <v>71</v>
      </c>
      <c r="B72" s="15" t="s">
        <v>212</v>
      </c>
      <c r="C72" s="15" t="s">
        <v>213</v>
      </c>
      <c r="D72" s="33" t="s">
        <v>310</v>
      </c>
      <c r="E72" s="15" t="s">
        <v>214</v>
      </c>
      <c r="F72" s="34">
        <v>73202090</v>
      </c>
      <c r="G72" s="34">
        <f t="shared" si="1"/>
        <v>0</v>
      </c>
      <c r="H72" s="15" t="s">
        <v>36</v>
      </c>
      <c r="I72" s="16">
        <v>2500</v>
      </c>
      <c r="J72" s="15" t="s">
        <v>37</v>
      </c>
      <c r="K72" s="16">
        <v>2500</v>
      </c>
      <c r="L72" s="15" t="s">
        <v>38</v>
      </c>
      <c r="M72" s="17">
        <v>1.6299999999999999E-2</v>
      </c>
      <c r="N72" s="18">
        <v>40.75</v>
      </c>
      <c r="O72" s="17"/>
      <c r="P72" s="18"/>
      <c r="Q72" s="15" t="s">
        <v>39</v>
      </c>
      <c r="R72" s="19">
        <v>0</v>
      </c>
      <c r="S72" s="18"/>
      <c r="T72" s="15" t="s">
        <v>40</v>
      </c>
      <c r="U72" s="20"/>
      <c r="V72" s="21"/>
      <c r="W72" s="21"/>
      <c r="X72" s="18"/>
      <c r="Y72" s="15"/>
      <c r="Z72" s="20"/>
      <c r="AA72" s="15"/>
      <c r="AB72" s="21"/>
      <c r="AC72" s="18"/>
      <c r="AD72" s="15"/>
      <c r="AE72" s="20"/>
      <c r="AF72" s="15" t="s">
        <v>41</v>
      </c>
      <c r="AG72" s="21"/>
      <c r="AH72" s="18"/>
      <c r="AI72" s="15" t="s">
        <v>42</v>
      </c>
      <c r="AJ72" s="22"/>
    </row>
    <row r="73" spans="1:36" x14ac:dyDescent="0.3">
      <c r="A73" s="31">
        <v>72</v>
      </c>
      <c r="B73" s="15" t="s">
        <v>215</v>
      </c>
      <c r="C73" s="15" t="s">
        <v>216</v>
      </c>
      <c r="D73" s="33" t="s">
        <v>311</v>
      </c>
      <c r="E73" s="15" t="s">
        <v>217</v>
      </c>
      <c r="F73" s="34" t="s">
        <v>217</v>
      </c>
      <c r="G73" s="34">
        <f t="shared" si="1"/>
        <v>0</v>
      </c>
      <c r="H73" s="15" t="s">
        <v>36</v>
      </c>
      <c r="I73" s="16">
        <v>7700</v>
      </c>
      <c r="J73" s="15" t="s">
        <v>37</v>
      </c>
      <c r="K73" s="16">
        <v>7700</v>
      </c>
      <c r="L73" s="15" t="s">
        <v>38</v>
      </c>
      <c r="M73" s="17">
        <v>9.4999999999999998E-3</v>
      </c>
      <c r="N73" s="18">
        <v>73.150000000000006</v>
      </c>
      <c r="O73" s="17"/>
      <c r="P73" s="18"/>
      <c r="Q73" s="15" t="s">
        <v>39</v>
      </c>
      <c r="R73" s="19">
        <v>0</v>
      </c>
      <c r="S73" s="18"/>
      <c r="T73" s="15" t="s">
        <v>40</v>
      </c>
      <c r="U73" s="20"/>
      <c r="V73" s="21"/>
      <c r="W73" s="21"/>
      <c r="X73" s="18"/>
      <c r="Y73" s="15"/>
      <c r="Z73" s="20"/>
      <c r="AA73" s="15" t="s">
        <v>218</v>
      </c>
      <c r="AB73" s="21"/>
      <c r="AC73" s="18"/>
      <c r="AD73" s="15" t="s">
        <v>219</v>
      </c>
      <c r="AE73" s="20"/>
      <c r="AF73" s="15" t="s">
        <v>41</v>
      </c>
      <c r="AG73" s="21"/>
      <c r="AH73" s="18"/>
      <c r="AI73" s="15" t="s">
        <v>42</v>
      </c>
      <c r="AJ73" s="22"/>
    </row>
    <row r="74" spans="1:36" x14ac:dyDescent="0.3">
      <c r="A74" s="31">
        <v>73</v>
      </c>
      <c r="B74" s="15" t="s">
        <v>220</v>
      </c>
      <c r="C74" s="15" t="s">
        <v>221</v>
      </c>
      <c r="D74" s="33" t="s">
        <v>311</v>
      </c>
      <c r="E74" s="15" t="s">
        <v>217</v>
      </c>
      <c r="F74" s="34">
        <v>39232199</v>
      </c>
      <c r="G74" s="34">
        <f t="shared" si="1"/>
        <v>0</v>
      </c>
      <c r="H74" s="15" t="s">
        <v>36</v>
      </c>
      <c r="I74" s="16">
        <v>1500</v>
      </c>
      <c r="J74" s="15" t="s">
        <v>37</v>
      </c>
      <c r="K74" s="16">
        <v>1500</v>
      </c>
      <c r="L74" s="15" t="s">
        <v>38</v>
      </c>
      <c r="M74" s="17">
        <v>1.52E-2</v>
      </c>
      <c r="N74" s="18">
        <v>22.8</v>
      </c>
      <c r="O74" s="17"/>
      <c r="P74" s="18"/>
      <c r="Q74" s="15" t="s">
        <v>39</v>
      </c>
      <c r="R74" s="19">
        <v>0</v>
      </c>
      <c r="S74" s="18"/>
      <c r="T74" s="15" t="s">
        <v>40</v>
      </c>
      <c r="U74" s="20"/>
      <c r="V74" s="21"/>
      <c r="W74" s="21"/>
      <c r="X74" s="18"/>
      <c r="Y74" s="15"/>
      <c r="Z74" s="20"/>
      <c r="AA74" s="15" t="s">
        <v>218</v>
      </c>
      <c r="AB74" s="21"/>
      <c r="AC74" s="18"/>
      <c r="AD74" s="15" t="s">
        <v>219</v>
      </c>
      <c r="AE74" s="20"/>
      <c r="AF74" s="15" t="s">
        <v>41</v>
      </c>
      <c r="AG74" s="21"/>
      <c r="AH74" s="18"/>
      <c r="AI74" s="15" t="s">
        <v>42</v>
      </c>
      <c r="AJ74" s="22"/>
    </row>
    <row r="75" spans="1:36" x14ac:dyDescent="0.3">
      <c r="A75" s="31">
        <v>74</v>
      </c>
      <c r="B75" s="15" t="s">
        <v>222</v>
      </c>
      <c r="C75" s="15" t="s">
        <v>223</v>
      </c>
      <c r="D75" s="33" t="s">
        <v>311</v>
      </c>
      <c r="E75" s="15" t="s">
        <v>217</v>
      </c>
      <c r="F75" s="34" t="s">
        <v>217</v>
      </c>
      <c r="G75" s="34">
        <f t="shared" si="1"/>
        <v>0</v>
      </c>
      <c r="H75" s="15" t="s">
        <v>36</v>
      </c>
      <c r="I75" s="16">
        <v>300</v>
      </c>
      <c r="J75" s="15" t="s">
        <v>37</v>
      </c>
      <c r="K75" s="16">
        <v>300</v>
      </c>
      <c r="L75" s="15" t="s">
        <v>38</v>
      </c>
      <c r="M75" s="17">
        <v>6.0000000000000001E-3</v>
      </c>
      <c r="N75" s="18">
        <v>1.8</v>
      </c>
      <c r="O75" s="17"/>
      <c r="P75" s="18"/>
      <c r="Q75" s="15" t="s">
        <v>39</v>
      </c>
      <c r="R75" s="19">
        <v>0</v>
      </c>
      <c r="S75" s="18"/>
      <c r="T75" s="15" t="s">
        <v>40</v>
      </c>
      <c r="U75" s="20"/>
      <c r="V75" s="21"/>
      <c r="W75" s="21"/>
      <c r="X75" s="18"/>
      <c r="Y75" s="15"/>
      <c r="Z75" s="20"/>
      <c r="AA75" s="15" t="s">
        <v>218</v>
      </c>
      <c r="AB75" s="21"/>
      <c r="AC75" s="18"/>
      <c r="AD75" s="15" t="s">
        <v>219</v>
      </c>
      <c r="AE75" s="20"/>
      <c r="AF75" s="15" t="s">
        <v>41</v>
      </c>
      <c r="AG75" s="21"/>
      <c r="AH75" s="18"/>
      <c r="AI75" s="15" t="s">
        <v>42</v>
      </c>
      <c r="AJ75" s="22"/>
    </row>
    <row r="76" spans="1:36" x14ac:dyDescent="0.3">
      <c r="A76" s="31">
        <v>75</v>
      </c>
      <c r="B76" s="15" t="s">
        <v>224</v>
      </c>
      <c r="C76" s="15" t="s">
        <v>225</v>
      </c>
      <c r="D76" s="33" t="s">
        <v>311</v>
      </c>
      <c r="E76" s="15" t="s">
        <v>217</v>
      </c>
      <c r="F76" s="34">
        <v>39232199</v>
      </c>
      <c r="G76" s="34">
        <f t="shared" si="1"/>
        <v>0</v>
      </c>
      <c r="H76" s="15" t="s">
        <v>36</v>
      </c>
      <c r="I76" s="16">
        <v>1200</v>
      </c>
      <c r="J76" s="15" t="s">
        <v>37</v>
      </c>
      <c r="K76" s="16">
        <v>1200</v>
      </c>
      <c r="L76" s="15" t="s">
        <v>38</v>
      </c>
      <c r="M76" s="17">
        <v>7.0000000000000001E-3</v>
      </c>
      <c r="N76" s="18">
        <v>8.4</v>
      </c>
      <c r="O76" s="17"/>
      <c r="P76" s="18"/>
      <c r="Q76" s="15" t="s">
        <v>39</v>
      </c>
      <c r="R76" s="19">
        <v>0</v>
      </c>
      <c r="S76" s="18"/>
      <c r="T76" s="15" t="s">
        <v>40</v>
      </c>
      <c r="U76" s="20"/>
      <c r="V76" s="21"/>
      <c r="W76" s="21"/>
      <c r="X76" s="18"/>
      <c r="Y76" s="15"/>
      <c r="Z76" s="20"/>
      <c r="AA76" s="15" t="s">
        <v>218</v>
      </c>
      <c r="AB76" s="21"/>
      <c r="AC76" s="18"/>
      <c r="AD76" s="15" t="s">
        <v>219</v>
      </c>
      <c r="AE76" s="20"/>
      <c r="AF76" s="15" t="s">
        <v>41</v>
      </c>
      <c r="AG76" s="21"/>
      <c r="AH76" s="18"/>
      <c r="AI76" s="15" t="s">
        <v>42</v>
      </c>
      <c r="AJ76" s="22"/>
    </row>
    <row r="77" spans="1:36" x14ac:dyDescent="0.3">
      <c r="A77" s="31">
        <v>76</v>
      </c>
      <c r="B77" s="15" t="s">
        <v>226</v>
      </c>
      <c r="C77" s="15" t="s">
        <v>227</v>
      </c>
      <c r="D77" s="33" t="s">
        <v>311</v>
      </c>
      <c r="E77" s="15" t="s">
        <v>217</v>
      </c>
      <c r="F77" s="34">
        <v>39232199</v>
      </c>
      <c r="G77" s="34">
        <f t="shared" si="1"/>
        <v>0</v>
      </c>
      <c r="H77" s="15" t="s">
        <v>36</v>
      </c>
      <c r="I77" s="16">
        <v>600</v>
      </c>
      <c r="J77" s="15" t="s">
        <v>37</v>
      </c>
      <c r="K77" s="16">
        <v>600</v>
      </c>
      <c r="L77" s="15" t="s">
        <v>38</v>
      </c>
      <c r="M77" s="17">
        <v>0.27710000000000001</v>
      </c>
      <c r="N77" s="18">
        <v>166.26</v>
      </c>
      <c r="O77" s="17"/>
      <c r="P77" s="18"/>
      <c r="Q77" s="15" t="s">
        <v>39</v>
      </c>
      <c r="R77" s="19">
        <v>0</v>
      </c>
      <c r="S77" s="18"/>
      <c r="T77" s="15" t="s">
        <v>40</v>
      </c>
      <c r="U77" s="20"/>
      <c r="V77" s="21"/>
      <c r="W77" s="21"/>
      <c r="X77" s="18"/>
      <c r="Y77" s="15"/>
      <c r="Z77" s="20"/>
      <c r="AA77" s="15" t="s">
        <v>218</v>
      </c>
      <c r="AB77" s="21"/>
      <c r="AC77" s="18"/>
      <c r="AD77" s="15" t="s">
        <v>219</v>
      </c>
      <c r="AE77" s="20"/>
      <c r="AF77" s="15" t="s">
        <v>41</v>
      </c>
      <c r="AG77" s="21"/>
      <c r="AH77" s="18"/>
      <c r="AI77" s="15" t="s">
        <v>42</v>
      </c>
      <c r="AJ77" s="22"/>
    </row>
    <row r="78" spans="1:36" x14ac:dyDescent="0.3">
      <c r="A78" s="31">
        <v>77</v>
      </c>
      <c r="B78" s="15" t="s">
        <v>228</v>
      </c>
      <c r="C78" s="15" t="s">
        <v>229</v>
      </c>
      <c r="D78" s="33" t="s">
        <v>312</v>
      </c>
      <c r="E78" s="15" t="s">
        <v>230</v>
      </c>
      <c r="F78" s="34" t="s">
        <v>230</v>
      </c>
      <c r="G78" s="34">
        <f t="shared" si="1"/>
        <v>0</v>
      </c>
      <c r="H78" s="15" t="s">
        <v>36</v>
      </c>
      <c r="I78" s="16">
        <v>280</v>
      </c>
      <c r="J78" s="15" t="s">
        <v>37</v>
      </c>
      <c r="K78" s="16">
        <v>280</v>
      </c>
      <c r="L78" s="15" t="s">
        <v>38</v>
      </c>
      <c r="M78" s="17">
        <v>0.84689999999999999</v>
      </c>
      <c r="N78" s="18">
        <v>237.13200000000001</v>
      </c>
      <c r="O78" s="17"/>
      <c r="P78" s="18"/>
      <c r="Q78" s="15" t="s">
        <v>39</v>
      </c>
      <c r="R78" s="19">
        <v>0</v>
      </c>
      <c r="S78" s="18"/>
      <c r="T78" s="15" t="s">
        <v>40</v>
      </c>
      <c r="U78" s="20"/>
      <c r="V78" s="21"/>
      <c r="W78" s="21"/>
      <c r="X78" s="18"/>
      <c r="Y78" s="15"/>
      <c r="Z78" s="20"/>
      <c r="AA78" s="15"/>
      <c r="AB78" s="21"/>
      <c r="AC78" s="18"/>
      <c r="AD78" s="15"/>
      <c r="AE78" s="20"/>
      <c r="AF78" s="15" t="s">
        <v>41</v>
      </c>
      <c r="AG78" s="21"/>
      <c r="AH78" s="18"/>
      <c r="AI78" s="15" t="s">
        <v>42</v>
      </c>
      <c r="AJ78" s="22"/>
    </row>
    <row r="79" spans="1:36" x14ac:dyDescent="0.3">
      <c r="A79" s="31">
        <v>78</v>
      </c>
      <c r="B79" s="15" t="s">
        <v>231</v>
      </c>
      <c r="C79" s="15" t="s">
        <v>232</v>
      </c>
      <c r="D79" s="33" t="s">
        <v>313</v>
      </c>
      <c r="E79" s="15" t="s">
        <v>230</v>
      </c>
      <c r="F79" s="34" t="s">
        <v>230</v>
      </c>
      <c r="G79" s="34">
        <f t="shared" si="1"/>
        <v>0</v>
      </c>
      <c r="H79" s="15" t="s">
        <v>36</v>
      </c>
      <c r="I79" s="16">
        <v>510</v>
      </c>
      <c r="J79" s="15" t="s">
        <v>37</v>
      </c>
      <c r="K79" s="16">
        <v>510</v>
      </c>
      <c r="L79" s="15" t="s">
        <v>38</v>
      </c>
      <c r="M79" s="17">
        <v>1.0359</v>
      </c>
      <c r="N79" s="18">
        <v>528.30899999999997</v>
      </c>
      <c r="O79" s="17"/>
      <c r="P79" s="18"/>
      <c r="Q79" s="15" t="s">
        <v>39</v>
      </c>
      <c r="R79" s="19">
        <v>0</v>
      </c>
      <c r="S79" s="18"/>
      <c r="T79" s="15" t="s">
        <v>40</v>
      </c>
      <c r="U79" s="20"/>
      <c r="V79" s="21"/>
      <c r="W79" s="21"/>
      <c r="X79" s="18"/>
      <c r="Y79" s="15"/>
      <c r="Z79" s="20"/>
      <c r="AA79" s="15"/>
      <c r="AB79" s="21"/>
      <c r="AC79" s="18"/>
      <c r="AD79" s="15"/>
      <c r="AE79" s="20"/>
      <c r="AF79" s="15" t="s">
        <v>41</v>
      </c>
      <c r="AG79" s="21"/>
      <c r="AH79" s="18"/>
      <c r="AI79" s="15" t="s">
        <v>42</v>
      </c>
      <c r="AJ79" s="22"/>
    </row>
    <row r="80" spans="1:36" x14ac:dyDescent="0.3">
      <c r="A80" s="31">
        <v>79</v>
      </c>
      <c r="B80" s="15" t="s">
        <v>233</v>
      </c>
      <c r="C80" s="15" t="s">
        <v>234</v>
      </c>
      <c r="D80" s="33" t="s">
        <v>314</v>
      </c>
      <c r="E80" s="15" t="s">
        <v>230</v>
      </c>
      <c r="F80" s="34" t="s">
        <v>230</v>
      </c>
      <c r="G80" s="34">
        <f t="shared" si="1"/>
        <v>0</v>
      </c>
      <c r="H80" s="15" t="s">
        <v>36</v>
      </c>
      <c r="I80" s="16">
        <v>140</v>
      </c>
      <c r="J80" s="15" t="s">
        <v>37</v>
      </c>
      <c r="K80" s="16">
        <v>140</v>
      </c>
      <c r="L80" s="15" t="s">
        <v>38</v>
      </c>
      <c r="M80" s="17">
        <v>2.2021999999999999</v>
      </c>
      <c r="N80" s="18">
        <v>308.30799999999999</v>
      </c>
      <c r="O80" s="17"/>
      <c r="P80" s="18"/>
      <c r="Q80" s="15" t="s">
        <v>39</v>
      </c>
      <c r="R80" s="19">
        <v>0</v>
      </c>
      <c r="S80" s="18"/>
      <c r="T80" s="15" t="s">
        <v>40</v>
      </c>
      <c r="U80" s="20"/>
      <c r="V80" s="21"/>
      <c r="W80" s="21"/>
      <c r="X80" s="18"/>
      <c r="Y80" s="15"/>
      <c r="Z80" s="20"/>
      <c r="AA80" s="15"/>
      <c r="AB80" s="21"/>
      <c r="AC80" s="18"/>
      <c r="AD80" s="15"/>
      <c r="AE80" s="20"/>
      <c r="AF80" s="15" t="s">
        <v>41</v>
      </c>
      <c r="AG80" s="21"/>
      <c r="AH80" s="18"/>
      <c r="AI80" s="15" t="s">
        <v>42</v>
      </c>
      <c r="AJ80" s="22"/>
    </row>
    <row r="81" spans="1:36" x14ac:dyDescent="0.3">
      <c r="A81" s="31">
        <v>80</v>
      </c>
      <c r="B81" s="15" t="s">
        <v>235</v>
      </c>
      <c r="C81" s="15" t="s">
        <v>236</v>
      </c>
      <c r="D81" s="33" t="s">
        <v>315</v>
      </c>
      <c r="E81" s="15" t="s">
        <v>230</v>
      </c>
      <c r="F81" s="34" t="s">
        <v>230</v>
      </c>
      <c r="G81" s="34">
        <f t="shared" si="1"/>
        <v>0</v>
      </c>
      <c r="H81" s="15" t="s">
        <v>36</v>
      </c>
      <c r="I81" s="16">
        <v>580</v>
      </c>
      <c r="J81" s="15" t="s">
        <v>37</v>
      </c>
      <c r="K81" s="16">
        <v>580</v>
      </c>
      <c r="L81" s="15" t="s">
        <v>38</v>
      </c>
      <c r="M81" s="17">
        <v>0.61439999999999995</v>
      </c>
      <c r="N81" s="18">
        <v>356.35199999999998</v>
      </c>
      <c r="O81" s="17"/>
      <c r="P81" s="18"/>
      <c r="Q81" s="15" t="s">
        <v>39</v>
      </c>
      <c r="R81" s="19">
        <v>0</v>
      </c>
      <c r="S81" s="18"/>
      <c r="T81" s="15" t="s">
        <v>40</v>
      </c>
      <c r="U81" s="20"/>
      <c r="V81" s="21"/>
      <c r="W81" s="21"/>
      <c r="X81" s="18"/>
      <c r="Y81" s="15"/>
      <c r="Z81" s="20"/>
      <c r="AA81" s="15"/>
      <c r="AB81" s="21"/>
      <c r="AC81" s="18"/>
      <c r="AD81" s="15"/>
      <c r="AE81" s="20"/>
      <c r="AF81" s="15" t="s">
        <v>41</v>
      </c>
      <c r="AG81" s="21"/>
      <c r="AH81" s="18"/>
      <c r="AI81" s="15" t="s">
        <v>42</v>
      </c>
      <c r="AJ81" s="22"/>
    </row>
    <row r="82" spans="1:36" x14ac:dyDescent="0.3">
      <c r="A82" s="31">
        <v>81</v>
      </c>
      <c r="B82" s="15" t="s">
        <v>237</v>
      </c>
      <c r="C82" s="15" t="s">
        <v>238</v>
      </c>
      <c r="D82" s="33" t="s">
        <v>316</v>
      </c>
      <c r="E82" s="15" t="s">
        <v>230</v>
      </c>
      <c r="F82" s="34" t="s">
        <v>230</v>
      </c>
      <c r="G82" s="34">
        <f t="shared" si="1"/>
        <v>0</v>
      </c>
      <c r="H82" s="15" t="s">
        <v>36</v>
      </c>
      <c r="I82" s="16">
        <v>150</v>
      </c>
      <c r="J82" s="15" t="s">
        <v>37</v>
      </c>
      <c r="K82" s="16">
        <v>150</v>
      </c>
      <c r="L82" s="15" t="s">
        <v>38</v>
      </c>
      <c r="M82" s="17">
        <v>0.61350000000000005</v>
      </c>
      <c r="N82" s="18">
        <v>92.025000000000006</v>
      </c>
      <c r="O82" s="17"/>
      <c r="P82" s="18"/>
      <c r="Q82" s="15" t="s">
        <v>39</v>
      </c>
      <c r="R82" s="19">
        <v>0</v>
      </c>
      <c r="S82" s="18"/>
      <c r="T82" s="15" t="s">
        <v>40</v>
      </c>
      <c r="U82" s="20"/>
      <c r="V82" s="21"/>
      <c r="W82" s="21"/>
      <c r="X82" s="18"/>
      <c r="Y82" s="15"/>
      <c r="Z82" s="20"/>
      <c r="AA82" s="15"/>
      <c r="AB82" s="21"/>
      <c r="AC82" s="18"/>
      <c r="AD82" s="15"/>
      <c r="AE82" s="20"/>
      <c r="AF82" s="15" t="s">
        <v>41</v>
      </c>
      <c r="AG82" s="21"/>
      <c r="AH82" s="18"/>
      <c r="AI82" s="15" t="s">
        <v>42</v>
      </c>
      <c r="AJ82" s="22"/>
    </row>
    <row r="83" spans="1:36" x14ac:dyDescent="0.3">
      <c r="A83" s="31">
        <v>82</v>
      </c>
      <c r="B83" s="15" t="s">
        <v>239</v>
      </c>
      <c r="C83" s="15" t="s">
        <v>240</v>
      </c>
      <c r="D83" s="33" t="s">
        <v>317</v>
      </c>
      <c r="E83" s="15" t="s">
        <v>241</v>
      </c>
      <c r="F83" s="34">
        <v>48081000</v>
      </c>
      <c r="G83" s="34">
        <f t="shared" si="1"/>
        <v>0</v>
      </c>
      <c r="H83" s="15" t="s">
        <v>36</v>
      </c>
      <c r="I83" s="16">
        <v>180</v>
      </c>
      <c r="J83" s="15" t="s">
        <v>37</v>
      </c>
      <c r="K83" s="16">
        <v>13.7</v>
      </c>
      <c r="L83" s="15" t="s">
        <v>127</v>
      </c>
      <c r="M83" s="17">
        <v>7.5300000000000006E-2</v>
      </c>
      <c r="N83" s="18">
        <v>13.554</v>
      </c>
      <c r="O83" s="17"/>
      <c r="P83" s="18"/>
      <c r="Q83" s="15" t="s">
        <v>39</v>
      </c>
      <c r="R83" s="19">
        <v>0</v>
      </c>
      <c r="S83" s="18"/>
      <c r="T83" s="15" t="s">
        <v>40</v>
      </c>
      <c r="U83" s="20"/>
      <c r="V83" s="21"/>
      <c r="W83" s="21"/>
      <c r="X83" s="18"/>
      <c r="Y83" s="15"/>
      <c r="Z83" s="20"/>
      <c r="AA83" s="15"/>
      <c r="AB83" s="21"/>
      <c r="AC83" s="18"/>
      <c r="AD83" s="15"/>
      <c r="AE83" s="20"/>
      <c r="AF83" s="15" t="s">
        <v>41</v>
      </c>
      <c r="AG83" s="21"/>
      <c r="AH83" s="18"/>
      <c r="AI83" s="15" t="s">
        <v>42</v>
      </c>
      <c r="AJ83" s="22"/>
    </row>
    <row r="84" spans="1:36" x14ac:dyDescent="0.3">
      <c r="A84" s="31">
        <v>83</v>
      </c>
      <c r="B84" s="15" t="s">
        <v>242</v>
      </c>
      <c r="C84" s="15" t="s">
        <v>243</v>
      </c>
      <c r="D84" s="33" t="s">
        <v>318</v>
      </c>
      <c r="E84" s="15" t="s">
        <v>241</v>
      </c>
      <c r="F84" s="34" t="s">
        <v>241</v>
      </c>
      <c r="G84" s="34">
        <f t="shared" si="1"/>
        <v>0</v>
      </c>
      <c r="H84" s="15" t="s">
        <v>36</v>
      </c>
      <c r="I84" s="16">
        <v>560</v>
      </c>
      <c r="J84" s="15" t="s">
        <v>37</v>
      </c>
      <c r="K84" s="16">
        <v>37.270000000000003</v>
      </c>
      <c r="L84" s="15" t="s">
        <v>127</v>
      </c>
      <c r="M84" s="17">
        <v>0.09</v>
      </c>
      <c r="N84" s="18">
        <v>50.4</v>
      </c>
      <c r="O84" s="17"/>
      <c r="P84" s="18"/>
      <c r="Q84" s="15" t="s">
        <v>39</v>
      </c>
      <c r="R84" s="19">
        <v>0</v>
      </c>
      <c r="S84" s="18"/>
      <c r="T84" s="15" t="s">
        <v>40</v>
      </c>
      <c r="U84" s="20"/>
      <c r="V84" s="21"/>
      <c r="W84" s="21"/>
      <c r="X84" s="18"/>
      <c r="Y84" s="15"/>
      <c r="Z84" s="20"/>
      <c r="AA84" s="15"/>
      <c r="AB84" s="21"/>
      <c r="AC84" s="18"/>
      <c r="AD84" s="15"/>
      <c r="AE84" s="20"/>
      <c r="AF84" s="15" t="s">
        <v>41</v>
      </c>
      <c r="AG84" s="21"/>
      <c r="AH84" s="18"/>
      <c r="AI84" s="15" t="s">
        <v>42</v>
      </c>
      <c r="AJ84" s="22"/>
    </row>
    <row r="85" spans="1:36" x14ac:dyDescent="0.3">
      <c r="A85" s="31">
        <v>84</v>
      </c>
      <c r="B85" s="15" t="s">
        <v>244</v>
      </c>
      <c r="C85" s="15" t="s">
        <v>245</v>
      </c>
      <c r="D85" s="33" t="s">
        <v>319</v>
      </c>
      <c r="E85" s="15" t="s">
        <v>241</v>
      </c>
      <c r="F85" s="34" t="s">
        <v>241</v>
      </c>
      <c r="G85" s="34">
        <f t="shared" si="1"/>
        <v>0</v>
      </c>
      <c r="H85" s="15" t="s">
        <v>36</v>
      </c>
      <c r="I85" s="16">
        <v>281</v>
      </c>
      <c r="J85" s="15" t="s">
        <v>37</v>
      </c>
      <c r="K85" s="16">
        <v>5.03</v>
      </c>
      <c r="L85" s="15" t="s">
        <v>127</v>
      </c>
      <c r="M85" s="17">
        <v>2.7E-2</v>
      </c>
      <c r="N85" s="18">
        <v>7.5869999999999997</v>
      </c>
      <c r="O85" s="17"/>
      <c r="P85" s="18"/>
      <c r="Q85" s="15" t="s">
        <v>39</v>
      </c>
      <c r="R85" s="19">
        <v>0</v>
      </c>
      <c r="S85" s="18"/>
      <c r="T85" s="15" t="s">
        <v>40</v>
      </c>
      <c r="U85" s="20"/>
      <c r="V85" s="21"/>
      <c r="W85" s="21"/>
      <c r="X85" s="18"/>
      <c r="Y85" s="15"/>
      <c r="Z85" s="20"/>
      <c r="AA85" s="15"/>
      <c r="AB85" s="21"/>
      <c r="AC85" s="18"/>
      <c r="AD85" s="15"/>
      <c r="AE85" s="20"/>
      <c r="AF85" s="15" t="s">
        <v>41</v>
      </c>
      <c r="AG85" s="21"/>
      <c r="AH85" s="18"/>
      <c r="AI85" s="15" t="s">
        <v>42</v>
      </c>
      <c r="AJ85" s="22"/>
    </row>
    <row r="86" spans="1:36" x14ac:dyDescent="0.3">
      <c r="A86" s="31">
        <v>85</v>
      </c>
      <c r="B86" s="15" t="s">
        <v>246</v>
      </c>
      <c r="C86" s="15" t="s">
        <v>247</v>
      </c>
      <c r="D86" s="33" t="s">
        <v>320</v>
      </c>
      <c r="E86" s="15" t="s">
        <v>241</v>
      </c>
      <c r="F86" s="34" t="s">
        <v>241</v>
      </c>
      <c r="G86" s="34">
        <f t="shared" si="1"/>
        <v>0</v>
      </c>
      <c r="H86" s="15" t="s">
        <v>36</v>
      </c>
      <c r="I86" s="16">
        <v>1160</v>
      </c>
      <c r="J86" s="15" t="s">
        <v>37</v>
      </c>
      <c r="K86" s="16">
        <v>94.19</v>
      </c>
      <c r="L86" s="15" t="s">
        <v>127</v>
      </c>
      <c r="M86" s="17">
        <v>0.1033</v>
      </c>
      <c r="N86" s="18">
        <v>119.828</v>
      </c>
      <c r="O86" s="17"/>
      <c r="P86" s="18"/>
      <c r="Q86" s="15" t="s">
        <v>39</v>
      </c>
      <c r="R86" s="19">
        <v>0</v>
      </c>
      <c r="S86" s="18"/>
      <c r="T86" s="15" t="s">
        <v>40</v>
      </c>
      <c r="U86" s="20"/>
      <c r="V86" s="21"/>
      <c r="W86" s="21"/>
      <c r="X86" s="18"/>
      <c r="Y86" s="15"/>
      <c r="Z86" s="20"/>
      <c r="AA86" s="15"/>
      <c r="AB86" s="21"/>
      <c r="AC86" s="18"/>
      <c r="AD86" s="15"/>
      <c r="AE86" s="20"/>
      <c r="AF86" s="15" t="s">
        <v>41</v>
      </c>
      <c r="AG86" s="21"/>
      <c r="AH86" s="18"/>
      <c r="AI86" s="15" t="s">
        <v>42</v>
      </c>
      <c r="AJ86" s="22"/>
    </row>
    <row r="87" spans="1:36" x14ac:dyDescent="0.3">
      <c r="A87" s="31">
        <v>86</v>
      </c>
      <c r="B87" s="15" t="s">
        <v>248</v>
      </c>
      <c r="C87" s="15" t="s">
        <v>249</v>
      </c>
      <c r="D87" s="33" t="s">
        <v>321</v>
      </c>
      <c r="E87" s="15" t="s">
        <v>241</v>
      </c>
      <c r="F87" s="34" t="s">
        <v>241</v>
      </c>
      <c r="G87" s="34">
        <f t="shared" si="1"/>
        <v>0</v>
      </c>
      <c r="H87" s="15" t="s">
        <v>36</v>
      </c>
      <c r="I87" s="16">
        <v>1165</v>
      </c>
      <c r="J87" s="15" t="s">
        <v>37</v>
      </c>
      <c r="K87" s="16">
        <v>19.079999999999998</v>
      </c>
      <c r="L87" s="15" t="s">
        <v>127</v>
      </c>
      <c r="M87" s="17">
        <v>2.4899999999999999E-2</v>
      </c>
      <c r="N87" s="18">
        <v>29.008500000000002</v>
      </c>
      <c r="O87" s="17"/>
      <c r="P87" s="18"/>
      <c r="Q87" s="15" t="s">
        <v>39</v>
      </c>
      <c r="R87" s="19">
        <v>0</v>
      </c>
      <c r="S87" s="18"/>
      <c r="T87" s="15" t="s">
        <v>40</v>
      </c>
      <c r="U87" s="20"/>
      <c r="V87" s="21"/>
      <c r="W87" s="21"/>
      <c r="X87" s="18"/>
      <c r="Y87" s="15"/>
      <c r="Z87" s="20"/>
      <c r="AA87" s="15"/>
      <c r="AB87" s="21"/>
      <c r="AC87" s="18"/>
      <c r="AD87" s="15"/>
      <c r="AE87" s="20"/>
      <c r="AF87" s="15" t="s">
        <v>41</v>
      </c>
      <c r="AG87" s="21"/>
      <c r="AH87" s="18"/>
      <c r="AI87" s="15" t="s">
        <v>42</v>
      </c>
      <c r="AJ87" s="22"/>
    </row>
    <row r="88" spans="1:36" x14ac:dyDescent="0.3">
      <c r="A88" s="31">
        <v>87</v>
      </c>
      <c r="B88" s="15" t="s">
        <v>250</v>
      </c>
      <c r="C88" s="15" t="s">
        <v>251</v>
      </c>
      <c r="D88" s="33" t="s">
        <v>322</v>
      </c>
      <c r="E88" s="15" t="s">
        <v>154</v>
      </c>
      <c r="F88" s="34" t="s">
        <v>154</v>
      </c>
      <c r="G88" s="34">
        <f t="shared" si="1"/>
        <v>0</v>
      </c>
      <c r="H88" s="15" t="s">
        <v>36</v>
      </c>
      <c r="I88" s="16">
        <v>620</v>
      </c>
      <c r="J88" s="15" t="s">
        <v>37</v>
      </c>
      <c r="K88" s="16">
        <v>620</v>
      </c>
      <c r="L88" s="15" t="s">
        <v>38</v>
      </c>
      <c r="M88" s="17">
        <v>0.46700000000000003</v>
      </c>
      <c r="N88" s="18">
        <v>289.54000000000002</v>
      </c>
      <c r="O88" s="17"/>
      <c r="P88" s="18"/>
      <c r="Q88" s="15" t="s">
        <v>39</v>
      </c>
      <c r="R88" s="19">
        <v>0</v>
      </c>
      <c r="S88" s="18"/>
      <c r="T88" s="15" t="s">
        <v>40</v>
      </c>
      <c r="U88" s="20"/>
      <c r="V88" s="21"/>
      <c r="W88" s="21"/>
      <c r="X88" s="18"/>
      <c r="Y88" s="15"/>
      <c r="Z88" s="20"/>
      <c r="AA88" s="15"/>
      <c r="AB88" s="21"/>
      <c r="AC88" s="18"/>
      <c r="AD88" s="15"/>
      <c r="AE88" s="20"/>
      <c r="AF88" s="15" t="s">
        <v>41</v>
      </c>
      <c r="AG88" s="21"/>
      <c r="AH88" s="18"/>
      <c r="AI88" s="15" t="s">
        <v>42</v>
      </c>
      <c r="AJ88" s="22"/>
    </row>
    <row r="89" spans="1:36" x14ac:dyDescent="0.3">
      <c r="A89" s="31">
        <v>88</v>
      </c>
      <c r="B89" s="15" t="s">
        <v>252</v>
      </c>
      <c r="C89" s="15" t="s">
        <v>253</v>
      </c>
      <c r="D89" s="33" t="s">
        <v>323</v>
      </c>
      <c r="E89" s="15" t="s">
        <v>154</v>
      </c>
      <c r="F89" s="34" t="s">
        <v>154</v>
      </c>
      <c r="G89" s="34">
        <f t="shared" si="1"/>
        <v>0</v>
      </c>
      <c r="H89" s="15" t="s">
        <v>36</v>
      </c>
      <c r="I89" s="16">
        <v>620</v>
      </c>
      <c r="J89" s="15" t="s">
        <v>37</v>
      </c>
      <c r="K89" s="16">
        <v>620</v>
      </c>
      <c r="L89" s="15" t="s">
        <v>38</v>
      </c>
      <c r="M89" s="17">
        <v>0.46700000000000003</v>
      </c>
      <c r="N89" s="18">
        <v>289.54000000000002</v>
      </c>
      <c r="O89" s="17"/>
      <c r="P89" s="18"/>
      <c r="Q89" s="15" t="s">
        <v>39</v>
      </c>
      <c r="R89" s="19">
        <v>0</v>
      </c>
      <c r="S89" s="18"/>
      <c r="T89" s="15" t="s">
        <v>40</v>
      </c>
      <c r="U89" s="20"/>
      <c r="V89" s="21"/>
      <c r="W89" s="21"/>
      <c r="X89" s="18"/>
      <c r="Y89" s="15"/>
      <c r="Z89" s="20"/>
      <c r="AA89" s="15"/>
      <c r="AB89" s="21"/>
      <c r="AC89" s="18"/>
      <c r="AD89" s="15"/>
      <c r="AE89" s="20"/>
      <c r="AF89" s="15" t="s">
        <v>41</v>
      </c>
      <c r="AG89" s="21"/>
      <c r="AH89" s="18"/>
      <c r="AI89" s="15" t="s">
        <v>42</v>
      </c>
      <c r="AJ89" s="22"/>
    </row>
    <row r="90" spans="1:36" x14ac:dyDescent="0.3">
      <c r="A90" s="31">
        <v>89</v>
      </c>
      <c r="B90" s="15" t="s">
        <v>254</v>
      </c>
      <c r="C90" s="15" t="s">
        <v>255</v>
      </c>
      <c r="D90" s="33" t="s">
        <v>324</v>
      </c>
      <c r="E90" s="15" t="s">
        <v>241</v>
      </c>
      <c r="F90" s="34" t="s">
        <v>241</v>
      </c>
      <c r="G90" s="34">
        <f t="shared" si="1"/>
        <v>0</v>
      </c>
      <c r="H90" s="15" t="s">
        <v>36</v>
      </c>
      <c r="I90" s="16">
        <v>510</v>
      </c>
      <c r="J90" s="15" t="s">
        <v>37</v>
      </c>
      <c r="K90" s="16">
        <v>48.68</v>
      </c>
      <c r="L90" s="15" t="s">
        <v>127</v>
      </c>
      <c r="M90" s="17">
        <v>0.255</v>
      </c>
      <c r="N90" s="18">
        <v>130.05000000000001</v>
      </c>
      <c r="O90" s="17"/>
      <c r="P90" s="18"/>
      <c r="Q90" s="15" t="s">
        <v>39</v>
      </c>
      <c r="R90" s="19">
        <v>0</v>
      </c>
      <c r="S90" s="18"/>
      <c r="T90" s="15" t="s">
        <v>40</v>
      </c>
      <c r="U90" s="20"/>
      <c r="V90" s="21"/>
      <c r="W90" s="21"/>
      <c r="X90" s="18"/>
      <c r="Y90" s="15"/>
      <c r="Z90" s="20"/>
      <c r="AA90" s="15"/>
      <c r="AB90" s="21"/>
      <c r="AC90" s="18"/>
      <c r="AD90" s="15"/>
      <c r="AE90" s="20"/>
      <c r="AF90" s="15" t="s">
        <v>41</v>
      </c>
      <c r="AG90" s="21"/>
      <c r="AH90" s="18"/>
      <c r="AI90" s="15" t="s">
        <v>42</v>
      </c>
      <c r="AJ90" s="22"/>
    </row>
    <row r="91" spans="1:36" x14ac:dyDescent="0.3">
      <c r="A91" s="31">
        <v>90</v>
      </c>
      <c r="B91" s="15" t="s">
        <v>256</v>
      </c>
      <c r="C91" s="15" t="s">
        <v>257</v>
      </c>
      <c r="D91" s="33" t="s">
        <v>328</v>
      </c>
      <c r="E91" s="15" t="s">
        <v>230</v>
      </c>
      <c r="F91" s="34" t="s">
        <v>230</v>
      </c>
      <c r="G91" s="34">
        <f t="shared" si="1"/>
        <v>0</v>
      </c>
      <c r="H91" s="15" t="s">
        <v>36</v>
      </c>
      <c r="I91" s="16">
        <v>350</v>
      </c>
      <c r="J91" s="15" t="s">
        <v>37</v>
      </c>
      <c r="K91" s="16">
        <v>350</v>
      </c>
      <c r="L91" s="15" t="s">
        <v>38</v>
      </c>
      <c r="M91" s="17">
        <v>0.31590000000000001</v>
      </c>
      <c r="N91" s="18">
        <v>110.565</v>
      </c>
      <c r="O91" s="17"/>
      <c r="P91" s="18"/>
      <c r="Q91" s="15" t="s">
        <v>39</v>
      </c>
      <c r="R91" s="19">
        <v>0</v>
      </c>
      <c r="S91" s="18"/>
      <c r="T91" s="15" t="s">
        <v>40</v>
      </c>
      <c r="U91" s="20"/>
      <c r="V91" s="21"/>
      <c r="W91" s="21"/>
      <c r="X91" s="18"/>
      <c r="Y91" s="15"/>
      <c r="Z91" s="20"/>
      <c r="AA91" s="15"/>
      <c r="AB91" s="21"/>
      <c r="AC91" s="18"/>
      <c r="AD91" s="15"/>
      <c r="AE91" s="20"/>
      <c r="AF91" s="15" t="s">
        <v>41</v>
      </c>
      <c r="AG91" s="21"/>
      <c r="AH91" s="18"/>
      <c r="AI91" s="15" t="s">
        <v>42</v>
      </c>
      <c r="AJ91" s="22"/>
    </row>
    <row r="92" spans="1:36" x14ac:dyDescent="0.3">
      <c r="A92" s="31">
        <v>91</v>
      </c>
      <c r="B92" s="15" t="s">
        <v>258</v>
      </c>
      <c r="C92" s="15" t="s">
        <v>259</v>
      </c>
      <c r="D92" s="33" t="s">
        <v>329</v>
      </c>
      <c r="E92" s="15" t="s">
        <v>230</v>
      </c>
      <c r="F92" s="34" t="s">
        <v>230</v>
      </c>
      <c r="G92" s="34">
        <f t="shared" si="1"/>
        <v>0</v>
      </c>
      <c r="H92" s="15" t="s">
        <v>36</v>
      </c>
      <c r="I92" s="16">
        <v>350</v>
      </c>
      <c r="J92" s="15" t="s">
        <v>37</v>
      </c>
      <c r="K92" s="16">
        <v>350</v>
      </c>
      <c r="L92" s="15" t="s">
        <v>38</v>
      </c>
      <c r="M92" s="17">
        <v>0.14630000000000001</v>
      </c>
      <c r="N92" s="18">
        <v>51.204999999999998</v>
      </c>
      <c r="O92" s="17"/>
      <c r="P92" s="18"/>
      <c r="Q92" s="15" t="s">
        <v>39</v>
      </c>
      <c r="R92" s="19">
        <v>0</v>
      </c>
      <c r="S92" s="18"/>
      <c r="T92" s="15" t="s">
        <v>40</v>
      </c>
      <c r="U92" s="20"/>
      <c r="V92" s="21"/>
      <c r="W92" s="21"/>
      <c r="X92" s="18"/>
      <c r="Y92" s="15"/>
      <c r="Z92" s="20"/>
      <c r="AA92" s="15"/>
      <c r="AB92" s="21"/>
      <c r="AC92" s="18"/>
      <c r="AD92" s="15"/>
      <c r="AE92" s="20"/>
      <c r="AF92" s="15" t="s">
        <v>41</v>
      </c>
      <c r="AG92" s="21"/>
      <c r="AH92" s="18"/>
      <c r="AI92" s="15" t="s">
        <v>42</v>
      </c>
      <c r="AJ92" s="22"/>
    </row>
    <row r="93" spans="1:36" x14ac:dyDescent="0.3">
      <c r="A93" s="31">
        <v>92</v>
      </c>
      <c r="B93" s="15" t="s">
        <v>260</v>
      </c>
      <c r="C93" s="15" t="s">
        <v>261</v>
      </c>
      <c r="D93" s="33" t="s">
        <v>325</v>
      </c>
      <c r="E93" s="15" t="s">
        <v>262</v>
      </c>
      <c r="F93" s="34" t="s">
        <v>262</v>
      </c>
      <c r="G93" s="34">
        <f t="shared" si="1"/>
        <v>0</v>
      </c>
      <c r="H93" s="15" t="s">
        <v>36</v>
      </c>
      <c r="I93" s="16">
        <v>1250</v>
      </c>
      <c r="J93" s="15" t="s">
        <v>37</v>
      </c>
      <c r="K93" s="16">
        <v>1250</v>
      </c>
      <c r="L93" s="15" t="s">
        <v>38</v>
      </c>
      <c r="M93" s="17">
        <v>0.17169999999999999</v>
      </c>
      <c r="N93" s="18">
        <v>214.625</v>
      </c>
      <c r="O93" s="17"/>
      <c r="P93" s="18"/>
      <c r="Q93" s="15" t="s">
        <v>39</v>
      </c>
      <c r="R93" s="19">
        <v>0</v>
      </c>
      <c r="S93" s="18"/>
      <c r="T93" s="15" t="s">
        <v>40</v>
      </c>
      <c r="U93" s="20"/>
      <c r="V93" s="21"/>
      <c r="W93" s="21"/>
      <c r="X93" s="18"/>
      <c r="Y93" s="15"/>
      <c r="Z93" s="20"/>
      <c r="AA93" s="15"/>
      <c r="AB93" s="21"/>
      <c r="AC93" s="18"/>
      <c r="AD93" s="15"/>
      <c r="AE93" s="20"/>
      <c r="AF93" s="15" t="s">
        <v>41</v>
      </c>
      <c r="AG93" s="21"/>
      <c r="AH93" s="18"/>
      <c r="AI93" s="15" t="s">
        <v>42</v>
      </c>
      <c r="AJ93" s="22"/>
    </row>
    <row r="94" spans="1:36" x14ac:dyDescent="0.3">
      <c r="A94" s="31">
        <v>93</v>
      </c>
      <c r="B94" s="15" t="s">
        <v>263</v>
      </c>
      <c r="C94" s="15" t="s">
        <v>264</v>
      </c>
      <c r="D94" s="33" t="s">
        <v>326</v>
      </c>
      <c r="E94" s="15" t="s">
        <v>265</v>
      </c>
      <c r="F94" s="34">
        <v>85011022</v>
      </c>
      <c r="G94" s="34">
        <f t="shared" si="1"/>
        <v>0</v>
      </c>
      <c r="H94" s="15" t="s">
        <v>36</v>
      </c>
      <c r="I94" s="16">
        <v>14100</v>
      </c>
      <c r="J94" s="15" t="s">
        <v>37</v>
      </c>
      <c r="K94" s="16">
        <v>14100</v>
      </c>
      <c r="L94" s="15" t="s">
        <v>38</v>
      </c>
      <c r="M94" s="17">
        <v>0.2321</v>
      </c>
      <c r="N94" s="18">
        <v>3272.61</v>
      </c>
      <c r="O94" s="17"/>
      <c r="P94" s="18"/>
      <c r="Q94" s="15" t="s">
        <v>39</v>
      </c>
      <c r="R94" s="19">
        <v>0</v>
      </c>
      <c r="S94" s="18"/>
      <c r="T94" s="15" t="s">
        <v>40</v>
      </c>
      <c r="U94" s="20"/>
      <c r="V94" s="21"/>
      <c r="W94" s="21"/>
      <c r="X94" s="18"/>
      <c r="Y94" s="15"/>
      <c r="Z94" s="20"/>
      <c r="AA94" s="15"/>
      <c r="AB94" s="21"/>
      <c r="AC94" s="18"/>
      <c r="AD94" s="15"/>
      <c r="AE94" s="20"/>
      <c r="AF94" s="15" t="s">
        <v>41</v>
      </c>
      <c r="AG94" s="21"/>
      <c r="AH94" s="18"/>
      <c r="AI94" s="15" t="s">
        <v>42</v>
      </c>
      <c r="AJ94" s="22"/>
    </row>
    <row r="95" spans="1:36" x14ac:dyDescent="0.3">
      <c r="A95" s="32">
        <v>94</v>
      </c>
      <c r="B95" s="23" t="s">
        <v>266</v>
      </c>
      <c r="C95" s="23" t="s">
        <v>267</v>
      </c>
      <c r="D95" s="33" t="s">
        <v>327</v>
      </c>
      <c r="E95" s="23" t="s">
        <v>268</v>
      </c>
      <c r="F95" s="34" t="s">
        <v>268</v>
      </c>
      <c r="G95" s="34">
        <f t="shared" si="1"/>
        <v>0</v>
      </c>
      <c r="H95" s="23" t="s">
        <v>36</v>
      </c>
      <c r="I95" s="24">
        <v>4000</v>
      </c>
      <c r="J95" s="23" t="s">
        <v>37</v>
      </c>
      <c r="K95" s="24">
        <v>4000</v>
      </c>
      <c r="L95" s="23" t="s">
        <v>38</v>
      </c>
      <c r="M95" s="25">
        <v>1.7289000000000001</v>
      </c>
      <c r="N95" s="26">
        <v>6915.6</v>
      </c>
      <c r="O95" s="25"/>
      <c r="P95" s="26"/>
      <c r="Q95" s="23" t="s">
        <v>39</v>
      </c>
      <c r="R95" s="27">
        <v>0</v>
      </c>
      <c r="S95" s="26"/>
      <c r="T95" s="23" t="s">
        <v>40</v>
      </c>
      <c r="U95" s="28"/>
      <c r="V95" s="29"/>
      <c r="W95" s="29"/>
      <c r="X95" s="26"/>
      <c r="Y95" s="23"/>
      <c r="Z95" s="28"/>
      <c r="AA95" s="23"/>
      <c r="AB95" s="29"/>
      <c r="AC95" s="26"/>
      <c r="AD95" s="23"/>
      <c r="AE95" s="28"/>
      <c r="AF95" s="23" t="s">
        <v>41</v>
      </c>
      <c r="AG95" s="29"/>
      <c r="AH95" s="26"/>
      <c r="AI95" s="23" t="s">
        <v>42</v>
      </c>
      <c r="AJ95" s="30"/>
    </row>
  </sheetData>
  <autoFilter ref="A1:AJ1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Liên</dc:creator>
  <cp:lastModifiedBy>Lê Thị Liên</cp:lastModifiedBy>
  <dcterms:created xsi:type="dcterms:W3CDTF">2025-07-30T06:24:34Z</dcterms:created>
  <dcterms:modified xsi:type="dcterms:W3CDTF">2025-07-30T06:24:34Z</dcterms:modified>
</cp:coreProperties>
</file>