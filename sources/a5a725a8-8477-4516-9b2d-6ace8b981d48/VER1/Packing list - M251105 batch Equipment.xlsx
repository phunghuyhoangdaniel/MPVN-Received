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4.jpeg" ContentType="image/jpeg"/>
  <Override PartName="/xl/media/image3.png" ContentType="image/png"/>
  <Override PartName="/xl/media/image5.jpeg" ContentType="image/jpeg"/>
  <Override PartName="/xl/media/image7.png" ContentType="image/png"/>
  <Override PartName="/xl/media/image6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5110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<sst xmlns="http://schemas.openxmlformats.org/spreadsheetml/2006/main" count="106" uniqueCount="73">
  <si>
    <t xml:space="preserve">1) ENGLISH ITEM NAME
 (ex : OOOO machine)</t>
  </si>
  <si>
    <r>
      <rPr>
        <b val="true"/>
        <sz val="12"/>
        <color rgb="FF000000"/>
        <rFont val="Arial"/>
        <family val="0"/>
        <charset val="134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</si>
  <si>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</si>
  <si>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</si>
  <si>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</si>
  <si>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</si>
  <si>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</si>
  <si>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</si>
  <si>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</si>
  <si>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</si>
  <si>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材质中文名称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</si>
  <si>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</si>
  <si>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</si>
  <si>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</si>
  <si>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</si>
  <si>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</si>
  <si>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</si>
  <si>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</si>
  <si>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</si>
  <si>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</si>
  <si>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</si>
  <si>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</si>
  <si>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</si>
  <si>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</si>
  <si>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</si>
  <si>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</si>
  <si>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</si>
  <si>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</si>
  <si>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</si>
  <si>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</si>
  <si>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</si>
  <si>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</si>
  <si>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CARBON BELT</t>
  </si>
  <si>
    <t xml:space="preserve">碳带</t>
  </si>
  <si>
    <t xml:space="preserve">Cái này đã từng khai báo</t>
  </si>
  <si>
    <t xml:space="preserve">WUHAN JINGCHEN INTELLIGENT IDENTIFICATION TECHNOLOGY CO., LTD</t>
  </si>
  <si>
    <t xml:space="preserve">B50WRR50-30</t>
  </si>
  <si>
    <t xml:space="preserve">/</t>
  </si>
  <si>
    <t xml:space="preserve">010-145-07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</si>
  <si>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Noto Sans SC"/>
        <family val="2"/>
      </rPr>
      <t xml:space="preserve">尼龙丝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Noto Sans SC"/>
        <family val="2"/>
      </rPr>
      <t xml:space="preserve">油墨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</rPr>
      <t xml:space="preserve">精臣牌</t>
    </r>
    <r>
      <rPr>
        <sz val="10"/>
        <color rgb="FF000000"/>
        <rFont val="Arial"/>
        <family val="0"/>
        <charset val="134"/>
      </rPr>
      <t xml:space="preserve">|B50WRR50-30</t>
    </r>
  </si>
  <si>
    <t xml:space="preserve">RESIN BASED</t>
  </si>
  <si>
    <t xml:space="preserve">2025-10-28</t>
  </si>
  <si>
    <t xml:space="preserve">CHINA</t>
  </si>
  <si>
    <t xml:space="preserve">NEW</t>
  </si>
  <si>
    <t xml:space="preserve">M1-M2</t>
  </si>
  <si>
    <t xml:space="preserve">48*30*25*2</t>
  </si>
  <si>
    <t xml:space="preserve">9.8x8.3x6x30</t>
  </si>
  <si>
    <t xml:space="preserve">VMATTRACE</t>
  </si>
  <si>
    <t xml:space="preserve">NO</t>
  </si>
  <si>
    <t xml:space="preserve">LABEL PAPER</t>
  </si>
  <si>
    <t xml:space="preserve">标签纸</t>
  </si>
  <si>
    <t xml:space="preserve">SHENZHEN SHENGTIANXIN PRINTING CO., LTD</t>
  </si>
  <si>
    <t xml:space="preserve">40*60mm</t>
  </si>
  <si>
    <t xml:space="preserve">010-145-05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</si>
  <si>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Noto Sans SC"/>
        <family val="2"/>
      </rPr>
      <t xml:space="preserve">纸制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</rPr>
      <t xml:space="preserve">未印刷</t>
    </r>
    <r>
      <rPr>
        <sz val="10"/>
        <color rgb="FF000000"/>
        <rFont val="Arial"/>
        <family val="0"/>
        <charset val="134"/>
      </rPr>
      <t xml:space="preserve">|40*60MM</t>
    </r>
  </si>
  <si>
    <t xml:space="preserve">PAPER</t>
  </si>
  <si>
    <t xml:space="preserve">2025-11-25</t>
  </si>
  <si>
    <t xml:space="preserve">M3</t>
  </si>
  <si>
    <t xml:space="preserve">37*29.35</t>
  </si>
  <si>
    <t xml:space="preserve">USED TO PRINT MATTRACE STAMPS</t>
  </si>
  <si>
    <t xml:space="preserve">BURN-IN SOCKET</t>
  </si>
  <si>
    <t xml:space="preserve">烧录座</t>
  </si>
  <si>
    <t xml:space="preserve">Đế IC kết nối máy tính để ghi/nạp dữ liệu cho IC, chất liệu: Linh kiện điện tử</t>
  </si>
  <si>
    <t xml:space="preserve">HI-LO (SHENZHEN) CO., LTD</t>
  </si>
  <si>
    <t xml:space="preserve">HD-S29GLXXX-BG64C</t>
  </si>
  <si>
    <r>
      <rPr>
        <sz val="10"/>
        <color rgb="FF000000"/>
        <rFont val="Arial"/>
        <family val="0"/>
        <charset val="134"/>
      </rPr>
      <t xml:space="preserve">0|1|IC</t>
    </r>
    <r>
      <rPr>
        <sz val="10"/>
        <color rgb="FF000000"/>
        <rFont val="宋体"/>
        <family val="0"/>
        <charset val="134"/>
      </rPr>
      <t xml:space="preserve">烧录用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无号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非内存条</t>
    </r>
  </si>
  <si>
    <t xml:space="preserve">ELECTRONIC</t>
  </si>
  <si>
    <t xml:space="preserve">2025-11-23</t>
  </si>
  <si>
    <t xml:space="preserve">A1</t>
  </si>
  <si>
    <t xml:space="preserve">19X12X5.5</t>
  </si>
  <si>
    <t xml:space="preserve">9.5X3.5X3</t>
  </si>
  <si>
    <t xml:space="preserve">IC PROGRAMMING</t>
  </si>
  <si>
    <t xml:space="preserve">HDF-SEEP-BG24A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</si>
</sst>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00_ "/>
    <numFmt numFmtId="167" formatCode="0.00_ "/>
    <numFmt numFmtId="168" formatCode="0_ "/>
  </numFmts>
  <fonts count="19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0"/>
      <charset val="134"/>
    </font>
    <font>
      <sz val="10"/>
      <name val="新宋体"/>
      <family val="0"/>
      <charset val="134"/>
    </font>
    <font>
      <sz val="10"/>
      <color rgb="FFC9211E"/>
      <name val="Arial"/>
      <family val="2"/>
      <charset val="1"/>
    </font>
    <font>
      <sz val="10"/>
      <name val="宋体"/>
      <family val="0"/>
      <charset val="134"/>
    </font>
    <font>
      <sz val="10"/>
      <color rgb="FF000000"/>
      <name val="Arial"/>
      <family val="0"/>
      <charset val="134"/>
    </font>
    <font>
      <sz val="10"/>
      <color rgb="FF000000"/>
      <name val="Noto Sans SC"/>
      <family val="2"/>
    </font>
    <font>
      <sz val="10"/>
      <name val="Arial"/>
      <family val="0"/>
      <charset val="1"/>
    </font>
    <font>
      <sz val="10"/>
      <name val="Arial"/>
      <family val="2"/>
      <charset val="1"/>
    </font>
    <font>
      <sz val="10"/>
      <color rgb="FF00000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5999"/>
        <bgColor rgb="FF9999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8EB4E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9211E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3.png"/><Relationship Id="rId7" Type="http://schemas.openxmlformats.org/officeDocument/2006/relationships/image" Target="../media/image6.png"/><Relationship Id="rId8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334080</xdr:colOff>
      <xdr:row>1</xdr:row>
      <xdr:rowOff>79200</xdr:rowOff>
    </xdr:from>
    <xdr:to>
      <xdr:col>18</xdr:col>
      <xdr:colOff>741960</xdr:colOff>
      <xdr:row>1</xdr:row>
      <xdr:rowOff>494280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25071840" y="660240"/>
          <a:ext cx="407880" cy="4150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353160</xdr:colOff>
      <xdr:row>2</xdr:row>
      <xdr:rowOff>85680</xdr:rowOff>
    </xdr:from>
    <xdr:to>
      <xdr:col>18</xdr:col>
      <xdr:colOff>753480</xdr:colOff>
      <xdr:row>2</xdr:row>
      <xdr:rowOff>486000</xdr:rowOff>
    </xdr:to>
    <xdr:pic>
      <xdr:nvPicPr>
        <xdr:cNvPr id="1" name="图片 2" descr=""/>
        <xdr:cNvPicPr/>
      </xdr:nvPicPr>
      <xdr:blipFill>
        <a:blip r:embed="rId2"/>
        <a:stretch/>
      </xdr:blipFill>
      <xdr:spPr>
        <a:xfrm>
          <a:off x="25090920" y="1200240"/>
          <a:ext cx="400320" cy="4003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809640</xdr:colOff>
      <xdr:row>4</xdr:row>
      <xdr:rowOff>100800</xdr:rowOff>
    </xdr:from>
    <xdr:to>
      <xdr:col>19</xdr:col>
      <xdr:colOff>1347120</xdr:colOff>
      <xdr:row>4</xdr:row>
      <xdr:rowOff>402840</xdr:rowOff>
    </xdr:to>
    <xdr:pic>
      <xdr:nvPicPr>
        <xdr:cNvPr id="2" name="Picture 1" descr=""/>
        <xdr:cNvPicPr/>
      </xdr:nvPicPr>
      <xdr:blipFill>
        <a:blip r:embed="rId3"/>
        <a:srcRect l="19798" t="27708" r="63958" b="56857"/>
        <a:stretch/>
      </xdr:blipFill>
      <xdr:spPr>
        <a:xfrm>
          <a:off x="26549280" y="2282040"/>
          <a:ext cx="537480" cy="30204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18</xdr:col>
      <xdr:colOff>320040</xdr:colOff>
      <xdr:row>3</xdr:row>
      <xdr:rowOff>124200</xdr:rowOff>
    </xdr:from>
    <xdr:to>
      <xdr:col>18</xdr:col>
      <xdr:colOff>815040</xdr:colOff>
      <xdr:row>3</xdr:row>
      <xdr:rowOff>419040</xdr:rowOff>
    </xdr:to>
    <xdr:pic>
      <xdr:nvPicPr>
        <xdr:cNvPr id="3" name="图片 4" descr="IMG_20251126_134029.jpg"/>
        <xdr:cNvPicPr/>
      </xdr:nvPicPr>
      <xdr:blipFill>
        <a:blip r:embed="rId4"/>
        <a:srcRect l="18684" t="0" r="24665" b="0"/>
        <a:stretch/>
      </xdr:blipFill>
      <xdr:spPr>
        <a:xfrm rot="5400000">
          <a:off x="25157880" y="1671840"/>
          <a:ext cx="294840" cy="49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308880</xdr:colOff>
      <xdr:row>4</xdr:row>
      <xdr:rowOff>138600</xdr:rowOff>
    </xdr:from>
    <xdr:to>
      <xdr:col>18</xdr:col>
      <xdr:colOff>799200</xdr:colOff>
      <xdr:row>4</xdr:row>
      <xdr:rowOff>424080</xdr:rowOff>
    </xdr:to>
    <xdr:pic>
      <xdr:nvPicPr>
        <xdr:cNvPr id="4" name="图片 5" descr="IMG_20251126_134044.jpg"/>
        <xdr:cNvPicPr/>
      </xdr:nvPicPr>
      <xdr:blipFill>
        <a:blip r:embed="rId5"/>
        <a:srcRect l="24545" t="0" r="20664" b="4453"/>
        <a:stretch/>
      </xdr:blipFill>
      <xdr:spPr>
        <a:xfrm rot="5400000">
          <a:off x="25148880" y="2217240"/>
          <a:ext cx="285480" cy="490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814680</xdr:colOff>
      <xdr:row>3</xdr:row>
      <xdr:rowOff>172080</xdr:rowOff>
    </xdr:from>
    <xdr:to>
      <xdr:col>19</xdr:col>
      <xdr:colOff>1361520</xdr:colOff>
      <xdr:row>3</xdr:row>
      <xdr:rowOff>474120</xdr:rowOff>
    </xdr:to>
    <xdr:pic>
      <xdr:nvPicPr>
        <xdr:cNvPr id="5" name="Picture 1" descr=""/>
        <xdr:cNvPicPr/>
      </xdr:nvPicPr>
      <xdr:blipFill>
        <a:blip r:embed="rId6"/>
        <a:srcRect l="2353" t="27708" r="81679" b="56857"/>
        <a:stretch/>
      </xdr:blipFill>
      <xdr:spPr>
        <a:xfrm>
          <a:off x="26554320" y="1819800"/>
          <a:ext cx="546840" cy="30204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561960</xdr:colOff>
      <xdr:row>1</xdr:row>
      <xdr:rowOff>60480</xdr:rowOff>
    </xdr:from>
    <xdr:to>
      <xdr:col>19</xdr:col>
      <xdr:colOff>1600920</xdr:colOff>
      <xdr:row>1</xdr:row>
      <xdr:rowOff>479880</xdr:rowOff>
    </xdr:to>
    <xdr:pic>
      <xdr:nvPicPr>
        <xdr:cNvPr id="6" name="图片 7" descr=""/>
        <xdr:cNvPicPr/>
      </xdr:nvPicPr>
      <xdr:blipFill>
        <a:blip r:embed="rId7"/>
        <a:stretch/>
      </xdr:blipFill>
      <xdr:spPr>
        <a:xfrm>
          <a:off x="26301600" y="641520"/>
          <a:ext cx="1038960" cy="4194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609480</xdr:colOff>
      <xdr:row>2</xdr:row>
      <xdr:rowOff>47520</xdr:rowOff>
    </xdr:from>
    <xdr:to>
      <xdr:col>19</xdr:col>
      <xdr:colOff>1777680</xdr:colOff>
      <xdr:row>2</xdr:row>
      <xdr:rowOff>447120</xdr:rowOff>
    </xdr:to>
    <xdr:pic>
      <xdr:nvPicPr>
        <xdr:cNvPr id="7" name="图片 8" descr=""/>
        <xdr:cNvPicPr/>
      </xdr:nvPicPr>
      <xdr:blipFill>
        <a:blip r:embed="rId8"/>
        <a:stretch/>
      </xdr:blipFill>
      <xdr:spPr>
        <a:xfrm>
          <a:off x="26349120" y="1162080"/>
          <a:ext cx="1168200" cy="39960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2" ySplit="0" topLeftCell="C1" activePane="topRight" state="frozen"/>
      <selection pane="topLeft" activeCell="A1" activeCellId="0" sqref="A1"/>
      <selection pane="topRight" activeCell="C5" activeCellId="0" sqref="C5"/>
    </sheetView>
  </sheetViews>
  <sheetFormatPr defaultColWidth="9.00390625" defaultRowHeight="36" zeroHeight="false" outlineLevelRow="0" outlineLevelCol="0"/>
  <cols>
    <col collapsed="false" customWidth="true" hidden="false" outlineLevel="0" max="1" min="1" style="1" width="26.88"/>
    <col collapsed="false" customWidth="true" hidden="false" outlineLevel="0" max="2" min="2" style="2" width="17.77"/>
    <col collapsed="false" customWidth="true" hidden="false" outlineLevel="0" max="4" min="3" style="2" width="36.77"/>
    <col collapsed="false" customWidth="false" hidden="true" outlineLevel="0" max="5" min="5" style="2" width="9"/>
    <col collapsed="false" customWidth="true" hidden="false" outlineLevel="0" max="6" min="6" style="2" width="20.33"/>
    <col collapsed="false" customWidth="true" hidden="false" outlineLevel="0" max="7" min="7" style="2" width="14.67"/>
    <col collapsed="false" customWidth="true" hidden="false" outlineLevel="0" max="8" min="8" style="3" width="20.11"/>
    <col collapsed="false" customWidth="true" hidden="false" outlineLevel="0" max="9" min="9" style="3" width="13.56"/>
    <col collapsed="false" customWidth="true" hidden="false" outlineLevel="0" max="10" min="10" style="3" width="12.67"/>
    <col collapsed="false" customWidth="true" hidden="false" outlineLevel="0" max="11" min="11" style="3" width="47.67"/>
    <col collapsed="false" customWidth="true" hidden="true" outlineLevel="0" max="12" min="12" style="3" width="17.11"/>
    <col collapsed="false" customWidth="true" hidden="false" outlineLevel="0" max="13" min="13" style="3" width="22.88"/>
    <col collapsed="false" customWidth="true" hidden="false" outlineLevel="0" max="15" min="14" style="2" width="14.11"/>
    <col collapsed="false" customWidth="true" hidden="false" outlineLevel="0" max="16" min="16" style="2" width="21"/>
    <col collapsed="false" customWidth="true" hidden="false" outlineLevel="0" max="17" min="17" style="2" width="15.88"/>
    <col collapsed="false" customWidth="true" hidden="false" outlineLevel="0" max="18" min="18" style="2" width="15.78"/>
    <col collapsed="false" customWidth="true" hidden="false" outlineLevel="0" max="19" min="19" style="2" width="14.21"/>
    <col collapsed="false" customWidth="true" hidden="false" outlineLevel="0" max="20" min="20" style="2" width="28.78"/>
    <col collapsed="false" customWidth="true" hidden="false" outlineLevel="0" max="21" min="21" style="2" width="14.21"/>
    <col collapsed="false" customWidth="true" hidden="false" outlineLevel="0" max="23" min="22" style="4" width="16.44"/>
    <col collapsed="false" customWidth="true" hidden="false" outlineLevel="0" max="24" min="24" style="5" width="15"/>
    <col collapsed="false" customWidth="true" hidden="false" outlineLevel="0" max="25" min="25" style="1" width="17"/>
    <col collapsed="false" customWidth="true" hidden="false" outlineLevel="0" max="26" min="26" style="2" width="10.66"/>
    <col collapsed="false" customWidth="true" hidden="false" outlineLevel="0" max="27" min="27" style="6" width="11.67"/>
    <col collapsed="false" customWidth="true" hidden="false" outlineLevel="0" max="28" min="28" style="5" width="11.67"/>
    <col collapsed="false" customWidth="true" hidden="false" outlineLevel="0" max="29" min="29" style="2" width="19.67"/>
    <col collapsed="false" customWidth="true" hidden="false" outlineLevel="0" max="30" min="30" style="2" width="18.11"/>
    <col collapsed="false" customWidth="true" hidden="false" outlineLevel="0" max="31" min="31" style="2" width="22.88"/>
    <col collapsed="false" customWidth="true" hidden="false" outlineLevel="0" max="32" min="32" style="2" width="17"/>
    <col collapsed="false" customWidth="true" hidden="false" outlineLevel="0" max="33" min="33" style="2" width="11.44"/>
    <col collapsed="false" customWidth="true" hidden="false" outlineLevel="0" max="34" min="34" style="2" width="14.88"/>
    <col collapsed="false" customWidth="false" hidden="false" outlineLevel="0" max="16384" min="35" style="2" width="9"/>
  </cols>
  <sheetData>
    <row r="1" s="12" customFormat="true" ht="45.75" hidden="false" customHeight="true" outlineLevel="0" collapsed="false">
      <c r="A1" s="7" t="s">
        <v>0</v>
      </c>
      <c r="B1" s="8" t="s">
        <v>1</v>
      </c>
      <c r="C1" s="8"/>
      <c r="D1" s="8" t="s">
        <v>2</v>
      </c>
      <c r="E1" s="9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9" t="s">
        <v>9</v>
      </c>
      <c r="L1" s="9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10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11" t="s">
        <v>31</v>
      </c>
    </row>
    <row r="2" customFormat="false" ht="42" hidden="false" customHeight="true" outlineLevel="0" collapsed="false">
      <c r="A2" s="13" t="s">
        <v>32</v>
      </c>
      <c r="B2" s="14" t="s">
        <v>33</v>
      </c>
      <c r="C2" s="15" t="s">
        <v>34</v>
      </c>
      <c r="D2" s="13" t="s">
        <v>35</v>
      </c>
      <c r="E2" s="16"/>
      <c r="F2" s="13" t="s">
        <v>36</v>
      </c>
      <c r="G2" s="13" t="s">
        <v>37</v>
      </c>
      <c r="H2" s="13" t="s">
        <v>38</v>
      </c>
      <c r="I2" s="13" t="n">
        <v>9612100000</v>
      </c>
      <c r="J2" s="13" t="n">
        <v>96121090</v>
      </c>
      <c r="K2" s="17" t="s">
        <v>39</v>
      </c>
      <c r="L2" s="16"/>
      <c r="M2" s="18" t="s">
        <v>40</v>
      </c>
      <c r="N2" s="18" t="s">
        <v>37</v>
      </c>
      <c r="O2" s="18" t="s">
        <v>37</v>
      </c>
      <c r="P2" s="19" t="s">
        <v>41</v>
      </c>
      <c r="Q2" s="18" t="s">
        <v>42</v>
      </c>
      <c r="R2" s="18" t="s">
        <v>43</v>
      </c>
      <c r="S2" s="20"/>
      <c r="T2" s="18"/>
      <c r="U2" s="18" t="n">
        <v>100</v>
      </c>
      <c r="V2" s="21" t="n">
        <v>39</v>
      </c>
      <c r="W2" s="22" t="n">
        <f aca="false">ROUND(V2/1.13*1.08/7.0867,4)</f>
        <v>5.2598</v>
      </c>
      <c r="X2" s="23" t="n">
        <f aca="false">ROUND(W2*U2,2)</f>
        <v>525.98</v>
      </c>
      <c r="Y2" s="20" t="s">
        <v>44</v>
      </c>
      <c r="Z2" s="18" t="n">
        <v>2</v>
      </c>
      <c r="AA2" s="23" t="n">
        <v>8.67</v>
      </c>
      <c r="AB2" s="23" t="n">
        <v>7</v>
      </c>
      <c r="AC2" s="20" t="s">
        <v>45</v>
      </c>
      <c r="AD2" s="18" t="s">
        <v>46</v>
      </c>
      <c r="AE2" s="13" t="s">
        <v>47</v>
      </c>
      <c r="AF2" s="24" t="s">
        <v>48</v>
      </c>
      <c r="AG2" s="22" t="n">
        <f aca="false">ROUND(V2/1.13*1.08,4)</f>
        <v>37.2743</v>
      </c>
    </row>
    <row r="3" customFormat="false" ht="42" hidden="false" customHeight="true" outlineLevel="0" collapsed="false">
      <c r="A3" s="13" t="s">
        <v>49</v>
      </c>
      <c r="B3" s="14" t="s">
        <v>50</v>
      </c>
      <c r="C3" s="15" t="s">
        <v>34</v>
      </c>
      <c r="D3" s="13" t="s">
        <v>51</v>
      </c>
      <c r="E3" s="16"/>
      <c r="F3" s="13" t="s">
        <v>52</v>
      </c>
      <c r="G3" s="13" t="s">
        <v>37</v>
      </c>
      <c r="H3" s="13" t="s">
        <v>53</v>
      </c>
      <c r="I3" s="13" t="n">
        <v>4821100000</v>
      </c>
      <c r="J3" s="13" t="n">
        <v>48211090</v>
      </c>
      <c r="K3" s="17" t="s">
        <v>54</v>
      </c>
      <c r="L3" s="16"/>
      <c r="M3" s="18" t="s">
        <v>55</v>
      </c>
      <c r="N3" s="18" t="s">
        <v>37</v>
      </c>
      <c r="O3" s="18" t="s">
        <v>37</v>
      </c>
      <c r="P3" s="19" t="s">
        <v>56</v>
      </c>
      <c r="Q3" s="18" t="s">
        <v>42</v>
      </c>
      <c r="R3" s="18" t="s">
        <v>43</v>
      </c>
      <c r="S3" s="20"/>
      <c r="T3" s="18"/>
      <c r="U3" s="18" t="n">
        <v>200</v>
      </c>
      <c r="V3" s="21" t="n">
        <v>27.6</v>
      </c>
      <c r="W3" s="22" t="n">
        <f aca="false">ROUND(V3/1.13*1.08/7.0867,4)</f>
        <v>3.7223</v>
      </c>
      <c r="X3" s="23" t="n">
        <f aca="false">ROUND(W3*U3,2)</f>
        <v>744.46</v>
      </c>
      <c r="Y3" s="20" t="s">
        <v>57</v>
      </c>
      <c r="Z3" s="18" t="n">
        <v>1</v>
      </c>
      <c r="AA3" s="23" t="n">
        <v>22.67</v>
      </c>
      <c r="AB3" s="23" t="n">
        <v>21</v>
      </c>
      <c r="AC3" s="20" t="s">
        <v>58</v>
      </c>
      <c r="AD3" s="18" t="s">
        <v>37</v>
      </c>
      <c r="AE3" s="13" t="s">
        <v>59</v>
      </c>
      <c r="AF3" s="24" t="s">
        <v>48</v>
      </c>
      <c r="AG3" s="22" t="n">
        <f aca="false">ROUND(V3/1.13*1.08,4)</f>
        <v>26.3788</v>
      </c>
    </row>
    <row r="4" customFormat="false" ht="42" hidden="false" customHeight="true" outlineLevel="0" collapsed="false">
      <c r="A4" s="13" t="s">
        <v>60</v>
      </c>
      <c r="B4" s="14" t="s">
        <v>61</v>
      </c>
      <c r="C4" s="25" t="s">
        <v>62</v>
      </c>
      <c r="D4" s="13" t="s">
        <v>63</v>
      </c>
      <c r="E4" s="16"/>
      <c r="F4" s="13" t="s">
        <v>64</v>
      </c>
      <c r="G4" s="13" t="s">
        <v>37</v>
      </c>
      <c r="H4" s="13" t="s">
        <v>37</v>
      </c>
      <c r="I4" s="13" t="n">
        <v>8473309000</v>
      </c>
      <c r="J4" s="13" t="n">
        <v>84733090</v>
      </c>
      <c r="K4" s="17" t="s">
        <v>65</v>
      </c>
      <c r="L4" s="16"/>
      <c r="M4" s="18" t="s">
        <v>66</v>
      </c>
      <c r="N4" s="18" t="s">
        <v>37</v>
      </c>
      <c r="O4" s="18" t="s">
        <v>37</v>
      </c>
      <c r="P4" s="19" t="s">
        <v>67</v>
      </c>
      <c r="Q4" s="18" t="s">
        <v>42</v>
      </c>
      <c r="R4" s="18" t="s">
        <v>43</v>
      </c>
      <c r="S4" s="20"/>
      <c r="T4" s="18"/>
      <c r="U4" s="18" t="n">
        <v>1</v>
      </c>
      <c r="V4" s="21" t="n">
        <v>2600</v>
      </c>
      <c r="W4" s="22" t="n">
        <f aca="false">ROUND(V4/1.13*1.08/7.0867,4)</f>
        <v>350.6506</v>
      </c>
      <c r="X4" s="23" t="n">
        <f aca="false">ROUND(W4*U4,2)</f>
        <v>350.65</v>
      </c>
      <c r="Y4" s="26" t="s">
        <v>68</v>
      </c>
      <c r="Z4" s="18" t="n">
        <v>1</v>
      </c>
      <c r="AA4" s="23" t="n">
        <v>0.18</v>
      </c>
      <c r="AB4" s="23" t="n">
        <v>0.03</v>
      </c>
      <c r="AC4" s="18" t="s">
        <v>69</v>
      </c>
      <c r="AD4" s="18" t="s">
        <v>70</v>
      </c>
      <c r="AE4" s="13" t="s">
        <v>71</v>
      </c>
      <c r="AF4" s="24" t="s">
        <v>48</v>
      </c>
      <c r="AG4" s="22" t="n">
        <f aca="false">ROUND(V4/1.13*1.08,4)</f>
        <v>2484.9558</v>
      </c>
    </row>
    <row r="5" customFormat="false" ht="42" hidden="false" customHeight="true" outlineLevel="0" collapsed="false">
      <c r="A5" s="13" t="s">
        <v>60</v>
      </c>
      <c r="B5" s="14" t="s">
        <v>61</v>
      </c>
      <c r="C5" s="25" t="s">
        <v>62</v>
      </c>
      <c r="D5" s="13" t="s">
        <v>63</v>
      </c>
      <c r="E5" s="16"/>
      <c r="F5" s="13" t="s">
        <v>72</v>
      </c>
      <c r="G5" s="13" t="s">
        <v>37</v>
      </c>
      <c r="H5" s="13" t="s">
        <v>37</v>
      </c>
      <c r="I5" s="13" t="n">
        <v>8473309000</v>
      </c>
      <c r="J5" s="13" t="n">
        <v>84733090</v>
      </c>
      <c r="K5" s="17" t="s">
        <v>65</v>
      </c>
      <c r="L5" s="16"/>
      <c r="M5" s="18" t="s">
        <v>66</v>
      </c>
      <c r="N5" s="18" t="s">
        <v>37</v>
      </c>
      <c r="O5" s="18" t="s">
        <v>37</v>
      </c>
      <c r="P5" s="19" t="s">
        <v>67</v>
      </c>
      <c r="Q5" s="18" t="s">
        <v>42</v>
      </c>
      <c r="R5" s="18" t="s">
        <v>43</v>
      </c>
      <c r="S5" s="20"/>
      <c r="T5" s="18"/>
      <c r="U5" s="18" t="n">
        <v>2</v>
      </c>
      <c r="V5" s="21" t="n">
        <v>2100</v>
      </c>
      <c r="W5" s="22" t="n">
        <f aca="false">ROUND(V5/1.13*1.08/7.0867,4)</f>
        <v>283.2178</v>
      </c>
      <c r="X5" s="23" t="n">
        <f aca="false">ROUND(W5*U5,2)</f>
        <v>566.44</v>
      </c>
      <c r="Y5" s="26"/>
      <c r="Z5" s="18"/>
      <c r="AA5" s="23"/>
      <c r="AB5" s="23" t="n">
        <v>0.06</v>
      </c>
      <c r="AC5" s="18"/>
      <c r="AD5" s="18" t="s">
        <v>70</v>
      </c>
      <c r="AE5" s="13" t="s">
        <v>71</v>
      </c>
      <c r="AF5" s="24" t="s">
        <v>48</v>
      </c>
      <c r="AG5" s="22" t="n">
        <f aca="false">ROUND(V5/1.13*1.08,4)</f>
        <v>2007.0796</v>
      </c>
    </row>
    <row r="6" customFormat="false" ht="36" hidden="false" customHeight="true" outlineLevel="0" collapsed="false">
      <c r="U6" s="2" t="n">
        <f aca="false">SUM(U2:U5)</f>
        <v>303</v>
      </c>
      <c r="X6" s="5" t="n">
        <f aca="false">SUM(X2:X5)</f>
        <v>2187.53</v>
      </c>
      <c r="Z6" s="2" t="n">
        <f aca="false">SUM(Z2:Z5)</f>
        <v>4</v>
      </c>
      <c r="AA6" s="2" t="n">
        <f aca="false">SUM(AA2:AA5)</f>
        <v>31.52</v>
      </c>
      <c r="AB6" s="2" t="n">
        <f aca="false">SUM(AB2:AB5)</f>
        <v>28.09</v>
      </c>
    </row>
  </sheetData>
  <mergeCells count="4">
    <mergeCell ref="Y4:Y5"/>
    <mergeCell ref="Z4:Z5"/>
    <mergeCell ref="AA4:AA5"/>
    <mergeCell ref="AC4:AC5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2025-12-05T10:24:35Z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