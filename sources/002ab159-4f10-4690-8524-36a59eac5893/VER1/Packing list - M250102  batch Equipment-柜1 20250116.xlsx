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50102" sheetId="11" r:id="rId1"/>
  </sheets>
  <definedNames>
    <definedName name="_xlnm._FilterDatabase" localSheetId="0" hidden="1">M20250102!$A$1:$AF$3</definedName>
  </definedNames>
  <calcPr calcId="144525" concurrentCalc="0"/>
</workbook>
</file>

<file path=xl/sharedStrings.xml><?xml version="1.0" encoding="utf-8"?>
<sst xmlns="http://schemas.openxmlformats.org/spreadsheetml/2006/main" count="50" uniqueCount="46">
  <si>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</si>
  <si>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</si>
  <si>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</si>
  <si>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</si>
  <si>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</si>
  <si>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</si>
  <si>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</si>
  <si>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</si>
  <si>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</si>
  <si>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</si>
  <si>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材质中文名称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</si>
  <si>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</si>
  <si>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</si>
  <si>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</si>
  <si>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</si>
  <si>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</si>
  <si>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</si>
  <si>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</si>
  <si>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</si>
  <si>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</si>
  <si>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</si>
  <si>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</si>
  <si>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</si>
  <si>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</si>
  <si>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</si>
  <si>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</si>
  <si>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</si>
  <si>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</si>
  <si>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</t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</si>
  <si>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</si>
  <si>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</si>
  <si>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</si>
  <si>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STEEL PLATE</t>
  </si>
  <si>
    <t>钢板</t>
  </si>
  <si>
    <t>SHENZHEN BAO'AN DISTRICT SHAJING ZHIYI INJECTION MOLDING MACHINE PARTS STORE</t>
  </si>
  <si>
    <t>/</t>
  </si>
  <si>
    <t>800MM*700MM*40MM</t>
  </si>
  <si>
    <r>
      <rPr>
        <sz val="10"/>
        <rFont val="Arial"/>
        <charset val="134"/>
      </rPr>
      <t>0|1</t>
    </r>
    <r>
      <rPr>
        <sz val="10"/>
        <rFont val="宋体"/>
        <charset val="134"/>
      </rPr>
      <t>注塑用</t>
    </r>
    <r>
      <rPr>
        <sz val="10"/>
        <rFont val="Arial"/>
        <charset val="134"/>
      </rPr>
      <t>|</t>
    </r>
    <r>
      <rPr>
        <sz val="10"/>
        <rFont val="宋体"/>
        <charset val="134"/>
      </rPr>
      <t>钢</t>
    </r>
    <r>
      <rPr>
        <sz val="10"/>
        <rFont val="Arial"/>
        <charset val="134"/>
      </rPr>
      <t>|</t>
    </r>
    <r>
      <rPr>
        <sz val="10"/>
        <rFont val="宋体"/>
        <charset val="134"/>
      </rPr>
      <t>钢材</t>
    </r>
  </si>
  <si>
    <t>STEEL</t>
  </si>
  <si>
    <t>CHINA</t>
  </si>
  <si>
    <t>NEW</t>
  </si>
  <si>
    <t>M1</t>
  </si>
  <si>
    <t>110*100</t>
  </si>
  <si>
    <t>80*70*4*2</t>
  </si>
  <si>
    <t>BEER MACHINE FOR MPVN INJECTION MOLDING DEPARTMENT</t>
  </si>
  <si>
    <t>NO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</si>
</sst>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00_ "/>
    <numFmt numFmtId="177" formatCode="0.00_ "/>
    <numFmt numFmtId="178" formatCode="0_ "/>
    <numFmt numFmtId="179" formatCode="yyyy/m/d;@"/>
  </numFmts>
  <fonts count="31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0"/>
      <color theme="4" tint="-0.25"/>
      <name val="Arial"/>
      <charset val="134"/>
    </font>
    <font>
      <b/>
      <sz val="12"/>
      <color rgb="FF000000"/>
      <name val="Arial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b/>
      <sz val="12"/>
      <color rgb="FF000000"/>
      <name val="楷体"/>
      <charset val="134"/>
    </font>
    <font>
      <sz val="10"/>
      <name val="宋体"/>
      <charset val="134"/>
    </font>
    <font>
      <b/>
      <sz val="12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2"/>
      <color rgb="FFFF0000"/>
      <name val="楷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12" borderId="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24" borderId="5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6" fillId="28" borderId="7" applyNumberFormat="0" applyAlignment="0" applyProtection="0">
      <alignment vertical="center"/>
    </xf>
    <xf numFmtId="0" fontId="27" fillId="28" borderId="2" applyNumberFormat="0" applyAlignment="0" applyProtection="0">
      <alignment vertical="center"/>
    </xf>
    <xf numFmtId="0" fontId="28" fillId="32" borderId="8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8" fontId="4" fillId="2" borderId="1" xfId="0" applyNumberFormat="1" applyFont="1" applyFill="1" applyBorder="1" applyAlignment="1">
      <alignment horizontal="left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272415</xdr:colOff>
      <xdr:row>1</xdr:row>
      <xdr:rowOff>35560</xdr:rowOff>
    </xdr:from>
    <xdr:to>
      <xdr:col>17</xdr:col>
      <xdr:colOff>841375</xdr:colOff>
      <xdr:row>1</xdr:row>
      <xdr:rowOff>584200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92200" y="619760"/>
          <a:ext cx="56896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107950</xdr:colOff>
      <xdr:row>1</xdr:row>
      <xdr:rowOff>160020</xdr:rowOff>
    </xdr:from>
    <xdr:to>
      <xdr:col>18</xdr:col>
      <xdr:colOff>1261110</xdr:colOff>
      <xdr:row>1</xdr:row>
      <xdr:rowOff>491490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413585" y="744220"/>
          <a:ext cx="1153160" cy="331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showGridLines="0" tabSelected="1" topLeftCell="P1" workbookViewId="0">
      <pane ySplit="1" topLeftCell="A2" activePane="bottomLeft" state="frozen"/>
      <selection/>
      <selection pane="bottomLeft" activeCell="Z6" sqref="Z6"/>
    </sheetView>
  </sheetViews>
  <sheetFormatPr defaultColWidth="9" defaultRowHeight="36" customHeight="1" outlineLevelRow="2"/>
  <cols>
    <col min="1" max="1" width="26.875" style="2" customWidth="1"/>
    <col min="2" max="2" width="15.5916666666667" style="2" customWidth="1"/>
    <col min="3" max="3" width="41.375" style="2" customWidth="1"/>
    <col min="4" max="4" width="16.95" style="2" customWidth="1"/>
    <col min="5" max="5" width="17.25" style="2" customWidth="1"/>
    <col min="6" max="6" width="14.625" style="2" customWidth="1"/>
    <col min="7" max="7" width="24.625" style="4" customWidth="1"/>
    <col min="8" max="8" width="13.525" style="4" customWidth="1"/>
    <col min="9" max="9" width="12.625" style="4" customWidth="1"/>
    <col min="10" max="10" width="47.625" style="4" customWidth="1"/>
    <col min="11" max="11" width="17" style="4" hidden="1" customWidth="1"/>
    <col min="12" max="12" width="28.375" style="4" customWidth="1"/>
    <col min="13" max="14" width="14.1333333333333" style="2" customWidth="1"/>
    <col min="15" max="15" width="21" style="2" customWidth="1"/>
    <col min="16" max="16" width="15.8833333333333" style="2" customWidth="1"/>
    <col min="17" max="17" width="19.5" style="2" customWidth="1"/>
    <col min="18" max="18" width="14.25" style="2" customWidth="1"/>
    <col min="19" max="19" width="17.75" style="2" customWidth="1"/>
    <col min="20" max="20" width="14.2666666666667" style="2" customWidth="1"/>
    <col min="21" max="22" width="16.425" style="5" customWidth="1"/>
    <col min="23" max="23" width="15" style="6" customWidth="1"/>
    <col min="24" max="24" width="17" style="7" customWidth="1"/>
    <col min="25" max="25" width="10.625" style="7" customWidth="1"/>
    <col min="26" max="27" width="11.625" style="8" customWidth="1"/>
    <col min="28" max="28" width="19.625" style="7" customWidth="1"/>
    <col min="29" max="29" width="15.375" style="2" customWidth="1"/>
    <col min="30" max="30" width="22.9166666666667" style="2" customWidth="1"/>
    <col min="31" max="31" width="13" style="2" customWidth="1"/>
    <col min="32" max="32" width="11.4666666666667" style="2" customWidth="1"/>
    <col min="33" max="33" width="14.875" style="2"/>
    <col min="34" max="16384" width="9" style="2"/>
  </cols>
  <sheetData>
    <row r="1" s="1" customFormat="1" ht="46" customHeight="1" spans="1:32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8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30" t="s">
        <v>31</v>
      </c>
    </row>
    <row r="2" s="2" customFormat="1" ht="49" customHeight="1" spans="1:32">
      <c r="A2" s="11" t="s">
        <v>32</v>
      </c>
      <c r="B2" s="12" t="s">
        <v>33</v>
      </c>
      <c r="C2" s="13" t="s">
        <v>34</v>
      </c>
      <c r="D2" s="14" t="s">
        <v>35</v>
      </c>
      <c r="E2" s="11" t="s">
        <v>36</v>
      </c>
      <c r="F2" s="15" t="s">
        <v>35</v>
      </c>
      <c r="G2" s="14" t="s">
        <v>35</v>
      </c>
      <c r="H2" s="16">
        <v>7308900000</v>
      </c>
      <c r="I2" s="19">
        <v>73084090</v>
      </c>
      <c r="J2" s="20" t="s">
        <v>37</v>
      </c>
      <c r="K2" s="21"/>
      <c r="L2" s="22" t="s">
        <v>38</v>
      </c>
      <c r="M2" s="11" t="s">
        <v>35</v>
      </c>
      <c r="N2" s="11" t="s">
        <v>35</v>
      </c>
      <c r="O2" s="23">
        <v>45660</v>
      </c>
      <c r="P2" s="11" t="s">
        <v>39</v>
      </c>
      <c r="Q2" s="11" t="s">
        <v>40</v>
      </c>
      <c r="R2" s="11"/>
      <c r="S2" s="11"/>
      <c r="T2" s="11">
        <v>2</v>
      </c>
      <c r="U2" s="24">
        <v>2850</v>
      </c>
      <c r="V2" s="24">
        <f>ROUND(U2*1.08/7.1879,4)</f>
        <v>428.2196</v>
      </c>
      <c r="W2" s="25">
        <f>ROUND(V2*T2,2)</f>
        <v>856.44</v>
      </c>
      <c r="X2" s="26" t="s">
        <v>41</v>
      </c>
      <c r="Y2" s="14">
        <v>1</v>
      </c>
      <c r="Z2" s="31">
        <v>376.3</v>
      </c>
      <c r="AA2" s="31">
        <v>360</v>
      </c>
      <c r="AB2" s="14" t="s">
        <v>42</v>
      </c>
      <c r="AC2" s="11" t="s">
        <v>43</v>
      </c>
      <c r="AD2" s="13" t="s">
        <v>44</v>
      </c>
      <c r="AE2" s="11" t="s">
        <v>45</v>
      </c>
      <c r="AF2" s="11">
        <f>ROUND(U2*1.08,4)</f>
        <v>3078</v>
      </c>
    </row>
    <row r="3" s="3" customFormat="1" customHeight="1" spans="7:28">
      <c r="G3" s="17"/>
      <c r="H3" s="17"/>
      <c r="I3" s="17"/>
      <c r="J3" s="17"/>
      <c r="K3" s="17"/>
      <c r="L3" s="17"/>
      <c r="T3" s="3">
        <f>SUM(T2:T2)</f>
        <v>2</v>
      </c>
      <c r="U3" s="27"/>
      <c r="V3" s="27"/>
      <c r="W3" s="28">
        <f>SUM(W2:W2)</f>
        <v>856.44</v>
      </c>
      <c r="X3" s="29"/>
      <c r="Y3" s="29">
        <f>SUM(Y2:Y2)</f>
        <v>1</v>
      </c>
      <c r="Z3" s="32">
        <f>SUM(Z2:Z2)</f>
        <v>376.3</v>
      </c>
      <c r="AA3" s="32">
        <f>SUM(AA2:AA2)</f>
        <v>360</v>
      </c>
      <c r="AB3" s="29"/>
    </row>
  </sheetData>
  <autoFilter ref="A1:AF3">
    <extLst/>
  </autoFilter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M20250102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2025-01-07T05:43:36Z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