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media/image2.jpeg" ContentType="image/jpeg"/>
  <Override PartName="/xl/media/image3.jpeg" ContentType="image/jpeg"/>
  <Override PartName="/xl/media/image4.jpeg" ContentType="image/jpeg"/>
  <Override PartName="/xl/media/image5.jpeg" ContentType="image/jpeg"/>
  <Override PartName="/xl/media/image7.png" ContentType="image/png"/>
  <Override PartName="/xl/media/image6.jpeg" ContentType="image/jpe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(1)MACHINARY - USE ELECTRICITY" sheetId="1" state="visible" r:id="rId2"/>
    <sheet name="(2)TOOL or CONSUPTION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<sst xmlns="http://schemas.openxmlformats.org/spreadsheetml/2006/main" count="63" uniqueCount="38">
  <si>
    <t xml:space="preserve">□ TOOL or CONSUPTION(공구, 도구 및 소모품) - 전기가가 안들어가는 아이템</t>
  </si>
  <si>
    <t xml:space="preserve">Item</t>
  </si>
  <si>
    <t xml:space="preserve">NO</t>
  </si>
  <si>
    <t xml:space="preserve">1) picture
(before PACKING)</t>
  </si>
  <si>
    <t xml:space="preserve">2) ENGLISH ITEM NAME</t>
  </si>
  <si>
    <t xml:space="preserve">Weight (KG)</t>
  </si>
  <si>
    <t xml:space="preserve">3) MANUFACTUROR 
(ex : OOO company)</t>
  </si>
  <si>
    <t xml:space="preserve">4) MODEL NO 
(ex : abc-123)</t>
  </si>
  <si>
    <t xml:space="preserve">5) MATERIAL
(ex : STEEL, PLASTIC)</t>
  </si>
  <si>
    <t xml:space="preserve">6) STANDARD TYPE
(ex : DIAMENSION)</t>
  </si>
  <si>
    <t xml:space="preserve">7) ORIGIN
(cx : MEDE IN KOREA)</t>
  </si>
  <si>
    <t xml:space="preserve">8) MSDS
(in case of chemical)</t>
  </si>
  <si>
    <t xml:space="preserve">9) HS CODE
(At origin)</t>
  </si>
  <si>
    <t xml:space="preserve">NEW OR USED</t>
  </si>
  <si>
    <t xml:space="preserve">MANUFACTURE DATE</t>
  </si>
  <si>
    <t xml:space="preserve">10) Cost
(USD)</t>
  </si>
  <si>
    <t xml:space="preserve">Plastic Tooling</t>
  </si>
  <si>
    <t xml:space="preserve">Tooling 450x402x710mm</t>
  </si>
  <si>
    <t xml:space="preserve">Techsen electronic(shenzhen) co.,ltd</t>
  </si>
  <si>
    <t xml:space="preserve">001-21010-01A</t>
  </si>
  <si>
    <t xml:space="preserve">Steel</t>
  </si>
  <si>
    <t xml:space="preserve">DIAMENSION</t>
  </si>
  <si>
    <t xml:space="preserve">made in china</t>
  </si>
  <si>
    <t xml:space="preserve">2021</t>
  </si>
  <si>
    <t xml:space="preserve">Tooling 318x302x352mm</t>
  </si>
  <si>
    <t xml:space="preserve">001-21010-02A</t>
  </si>
  <si>
    <t xml:space="preserve">Tooling 385x352x452mm</t>
  </si>
  <si>
    <t xml:space="preserve">001-21010-03A</t>
  </si>
  <si>
    <t xml:space="preserve">Tooling 489x452x710mm</t>
  </si>
  <si>
    <t xml:space="preserve">001-21011-01A</t>
  </si>
  <si>
    <t xml:space="preserve">Tooling 354x352x402mm</t>
  </si>
  <si>
    <t xml:space="preserve">001-21011-02A</t>
  </si>
  <si>
    <t xml:space="preserve">ACTURAL THIS SHIPMENT</t>
  </si>
  <si>
    <t xml:space="preserve">NEED LABEL (SAMPLE)</t>
  </si>
  <si>
    <t xml:space="preserve">ITEM NO:</t>
  </si>
  <si>
    <t xml:space="preserve">MOLD NO:</t>
  </si>
  <si>
    <t xml:space="preserve">MOLD YEAR</t>
  </si>
  <si>
    <t xml:space="preserve">MADE IN CHINA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</si>
</sst>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_ "/>
    <numFmt numFmtId="166" formatCode="@"/>
  </numFmts>
  <fonts count="21">
    <font>
      <sz val="11"/>
      <color rgb="FF000000"/>
      <name val="宋体"/>
      <family val="0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b val="true"/>
      <sz val="11"/>
      <color rgb="FF000000"/>
      <name val="맑은 고딕"/>
      <family val="0"/>
      <charset val="129"/>
    </font>
    <font>
      <sz val="16"/>
      <color rgb="FF000000"/>
      <name val="宋体"/>
      <family val="0"/>
      <charset val="129"/>
    </font>
    <font>
      <sz val="16"/>
      <color rgb="FFFF0000"/>
      <name val="宋体"/>
      <family val="0"/>
      <charset val="129"/>
    </font>
    <font>
      <b val="true"/>
      <sz val="16"/>
      <color rgb="FF000000"/>
      <name val="맑은 고딕"/>
      <family val="0"/>
      <charset val="129"/>
    </font>
    <font>
      <sz val="16"/>
      <color rgb="FF000000"/>
      <name val="Arial"/>
      <family val="0"/>
      <charset val="129"/>
    </font>
    <font>
      <b val="true"/>
      <sz val="16"/>
      <color rgb="FF000000"/>
      <name val="Arial"/>
      <family val="0"/>
      <charset val="129"/>
    </font>
    <font>
      <b val="true"/>
      <i val="true"/>
      <sz val="16"/>
      <color rgb="FF000000"/>
      <name val="Arial"/>
      <family val="0"/>
      <charset val="129"/>
    </font>
    <font>
      <b val="true"/>
      <sz val="16"/>
      <color rgb="FF000000"/>
      <name val="宋体"/>
      <family val="0"/>
      <charset val="129"/>
    </font>
    <font>
      <sz val="18"/>
      <color rgb="FF000000"/>
      <name val="宋体"/>
      <family val="0"/>
      <charset val="134"/>
    </font>
    <font>
      <sz val="18"/>
      <color rgb="FF000000"/>
      <name val="宋体"/>
      <family val="0"/>
      <charset val="129"/>
    </font>
    <font>
      <sz val="16"/>
      <name val="宋体"/>
      <family val="0"/>
      <charset val="134"/>
    </font>
    <font>
      <sz val="16"/>
      <name val="Arial"/>
      <family val="0"/>
      <charset val="1"/>
    </font>
    <font>
      <sz val="16"/>
      <name val="宋体"/>
      <family val="0"/>
      <charset val="129"/>
    </font>
    <font>
      <b val="true"/>
      <sz val="11"/>
      <color rgb="FF000000"/>
      <name val="宋体"/>
      <family val="0"/>
      <charset val="129"/>
    </font>
    <font>
      <sz val="16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0,0&#10;&#10;NA&#10;&#10;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6.jpeg"/><Relationship Id="rId2" Type="http://schemas.openxmlformats.org/officeDocument/2006/relationships/image" Target="../media/image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201960</xdr:colOff>
      <xdr:row>7</xdr:row>
      <xdr:rowOff>201960</xdr:rowOff>
    </xdr:from>
    <xdr:to>
      <xdr:col>2</xdr:col>
      <xdr:colOff>1641600</xdr:colOff>
      <xdr:row>7</xdr:row>
      <xdr:rowOff>1422360</xdr:rowOff>
    </xdr:to>
    <xdr:pic>
      <xdr:nvPicPr>
        <xdr:cNvPr id="0" name="图片 2" descr="001-21011-01A"/>
        <xdr:cNvPicPr/>
      </xdr:nvPicPr>
      <xdr:blipFill>
        <a:blip r:embed="rId1"/>
        <a:stretch/>
      </xdr:blipFill>
      <xdr:spPr>
        <a:xfrm rot="16200000">
          <a:off x="3925800" y="7149960"/>
          <a:ext cx="1220400" cy="1439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203400</xdr:colOff>
      <xdr:row>5</xdr:row>
      <xdr:rowOff>198360</xdr:rowOff>
    </xdr:from>
    <xdr:to>
      <xdr:col>2</xdr:col>
      <xdr:colOff>1643040</xdr:colOff>
      <xdr:row>5</xdr:row>
      <xdr:rowOff>1444680</xdr:rowOff>
    </xdr:to>
    <xdr:pic>
      <xdr:nvPicPr>
        <xdr:cNvPr id="1" name="图片 3" descr="001-21010-02A"/>
        <xdr:cNvPicPr/>
      </xdr:nvPicPr>
      <xdr:blipFill>
        <a:blip r:embed="rId2"/>
        <a:stretch/>
      </xdr:blipFill>
      <xdr:spPr>
        <a:xfrm rot="5400000">
          <a:off x="3914280" y="3755880"/>
          <a:ext cx="1246320" cy="1439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203760</xdr:colOff>
      <xdr:row>6</xdr:row>
      <xdr:rowOff>252000</xdr:rowOff>
    </xdr:from>
    <xdr:to>
      <xdr:col>2</xdr:col>
      <xdr:colOff>1647000</xdr:colOff>
      <xdr:row>6</xdr:row>
      <xdr:rowOff>1386720</xdr:rowOff>
    </xdr:to>
    <xdr:pic>
      <xdr:nvPicPr>
        <xdr:cNvPr id="2" name="图片 4" descr="001-21010-03A"/>
        <xdr:cNvPicPr/>
      </xdr:nvPicPr>
      <xdr:blipFill>
        <a:blip r:embed="rId3"/>
        <a:stretch/>
      </xdr:blipFill>
      <xdr:spPr>
        <a:xfrm rot="5400000">
          <a:off x="3972240" y="5453640"/>
          <a:ext cx="1134720" cy="1443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203760</xdr:colOff>
      <xdr:row>8</xdr:row>
      <xdr:rowOff>203400</xdr:rowOff>
    </xdr:from>
    <xdr:to>
      <xdr:col>2</xdr:col>
      <xdr:colOff>1646280</xdr:colOff>
      <xdr:row>8</xdr:row>
      <xdr:rowOff>1527840</xdr:rowOff>
    </xdr:to>
    <xdr:pic>
      <xdr:nvPicPr>
        <xdr:cNvPr id="3" name="图片 6" descr="001-21011-02A5"/>
        <xdr:cNvPicPr/>
      </xdr:nvPicPr>
      <xdr:blipFill>
        <a:blip r:embed="rId4"/>
        <a:srcRect l="5717" t="25511" r="0" b="24751"/>
        <a:stretch/>
      </xdr:blipFill>
      <xdr:spPr>
        <a:xfrm rot="5400000">
          <a:off x="3877200" y="8903520"/>
          <a:ext cx="1324440" cy="14425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201960</xdr:colOff>
      <xdr:row>4</xdr:row>
      <xdr:rowOff>317880</xdr:rowOff>
    </xdr:from>
    <xdr:to>
      <xdr:col>2</xdr:col>
      <xdr:colOff>1641600</xdr:colOff>
      <xdr:row>4</xdr:row>
      <xdr:rowOff>1378080</xdr:rowOff>
    </xdr:to>
    <xdr:pic>
      <xdr:nvPicPr>
        <xdr:cNvPr id="4" name="ID_9AABDAED72874EA5B53D5F2B43A05ACC" descr="001-21010-01A"/>
        <xdr:cNvPicPr/>
      </xdr:nvPicPr>
      <xdr:blipFill>
        <a:blip r:embed="rId5"/>
        <a:stretch/>
      </xdr:blipFill>
      <xdr:spPr>
        <a:xfrm rot="16200000">
          <a:off x="4006080" y="2080080"/>
          <a:ext cx="1060200" cy="1439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115920</xdr:rowOff>
    </xdr:from>
    <xdr:to>
      <xdr:col>0</xdr:col>
      <xdr:colOff>3760560</xdr:colOff>
      <xdr:row>3</xdr:row>
      <xdr:rowOff>3371400</xdr:rowOff>
    </xdr:to>
    <xdr:pic>
      <xdr:nvPicPr>
        <xdr:cNvPr id="5" name="图片 1" descr="001-21010-02A"/>
        <xdr:cNvPicPr/>
      </xdr:nvPicPr>
      <xdr:blipFill>
        <a:blip r:embed="rId1"/>
        <a:stretch/>
      </xdr:blipFill>
      <xdr:spPr>
        <a:xfrm rot="5400000">
          <a:off x="252360" y="362880"/>
          <a:ext cx="3255480" cy="37605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64440</xdr:colOff>
      <xdr:row>3</xdr:row>
      <xdr:rowOff>289440</xdr:rowOff>
    </xdr:from>
    <xdr:to>
      <xdr:col>1</xdr:col>
      <xdr:colOff>5658480</xdr:colOff>
      <xdr:row>3</xdr:row>
      <xdr:rowOff>3399480</xdr:rowOff>
    </xdr:to>
    <xdr:pic>
      <xdr:nvPicPr>
        <xdr:cNvPr id="6" name="Image 1" descr=""/>
        <xdr:cNvPicPr/>
      </xdr:nvPicPr>
      <xdr:blipFill>
        <a:blip r:embed="rId2"/>
        <a:stretch/>
      </xdr:blipFill>
      <xdr:spPr>
        <a:xfrm>
          <a:off x="3843720" y="789480"/>
          <a:ext cx="5594040" cy="31100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0000"/>
    <pageSetUpPr fitToPage="false"/>
  </sheetPr>
  <dimension ref="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5" activeCellId="0" sqref="D25"/>
    </sheetView>
  </sheetViews>
  <sheetFormatPr defaultColWidth="14.140625" defaultRowHeight="13.5" zeroHeight="false" outlineLevelRow="0" outlineLevelCol="0"/>
  <cols>
    <col collapsed="false" customWidth="true" hidden="false" outlineLevel="0" max="1" min="1" style="0" width="5.42"/>
    <col collapsed="false" customWidth="true" hidden="false" outlineLevel="0" max="2" min="2" style="1" width="4.72"/>
    <col collapsed="false" customWidth="true" hidden="false" outlineLevel="0" max="3" min="3" style="0" width="22.58"/>
    <col collapsed="false" customWidth="true" hidden="false" outlineLevel="0" max="4" min="4" style="0" width="20.71"/>
    <col collapsed="false" customWidth="true" hidden="false" outlineLevel="0" max="6" min="5" style="0" width="15.42"/>
    <col collapsed="false" customWidth="true" hidden="false" outlineLevel="0" max="7" min="7" style="0" width="12.14"/>
    <col collapsed="false" customWidth="true" hidden="false" outlineLevel="0" max="8" min="8" style="0" width="13.86"/>
    <col collapsed="false" customWidth="true" hidden="false" outlineLevel="0" max="9" min="9" style="0" width="18.72"/>
    <col collapsed="false" customWidth="true" hidden="false" outlineLevel="0" max="10" min="10" style="0" width="14.7"/>
    <col collapsed="false" customWidth="true" hidden="false" outlineLevel="0" max="11" min="11" style="1" width="15.58"/>
    <col collapsed="false" customWidth="true" hidden="false" outlineLevel="0" max="12" min="12" style="1" width="12.57"/>
    <col collapsed="false" customWidth="true" hidden="false" outlineLevel="0" max="13" min="13" style="0" width="23.01"/>
    <col collapsed="false" customWidth="true" hidden="false" outlineLevel="0" max="14" min="14" style="0" width="30.57"/>
    <col collapsed="false" customWidth="true" hidden="false" outlineLevel="0" max="15" min="15" style="0" width="12.14"/>
  </cols>
  <sheetData>
    <row r="2" customFormat="false" ht="16.5" hidden="false" customHeight="false" outlineLevel="0" collapsed="false">
      <c r="B2" s="2"/>
    </row>
  </sheetData>
  <printOptions headings="false" gridLines="false" gridLinesSet="true" horizontalCentered="false" verticalCentered="false"/>
  <pageMargins left="0.196527777777778" right="0.196527777777778" top="0.751388888888889" bottom="0.751388888888889" header="0.511811023622047" footer="0.511811023622047"/>
  <pageSetup paperSize="8" scale="8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B050"/>
    <pageSetUpPr fitToPage="false"/>
  </sheetPr>
  <dimension ref="A2:P5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1" ySplit="4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F6" activeCellId="0" sqref="F6"/>
    </sheetView>
  </sheetViews>
  <sheetFormatPr defaultColWidth="14.140625" defaultRowHeight="20.25" zeroHeight="false" outlineLevelRow="0" outlineLevelCol="0"/>
  <cols>
    <col collapsed="false" customWidth="true" hidden="false" outlineLevel="0" max="1" min="1" style="3" width="5.42"/>
    <col collapsed="false" customWidth="true" hidden="false" outlineLevel="0" max="2" min="2" style="4" width="46.35"/>
    <col collapsed="false" customWidth="true" hidden="false" outlineLevel="0" max="3" min="3" style="3" width="23.62"/>
    <col collapsed="false" customWidth="true" hidden="false" outlineLevel="0" max="4" min="4" style="3" width="38.38"/>
    <col collapsed="false" customWidth="true" hidden="false" outlineLevel="0" max="5" min="5" style="3" width="22.08"/>
    <col collapsed="false" customWidth="true" hidden="false" outlineLevel="0" max="6" min="6" style="3" width="55.75"/>
    <col collapsed="false" customWidth="true" hidden="false" outlineLevel="0" max="7" min="7" style="3" width="22.12"/>
    <col collapsed="false" customWidth="true" hidden="false" outlineLevel="0" max="11" min="8" style="3" width="22.71"/>
    <col collapsed="false" customWidth="true" hidden="false" outlineLevel="0" max="14" min="12" style="5" width="22.71"/>
    <col collapsed="false" customWidth="true" hidden="false" outlineLevel="0" max="15" min="15" style="3" width="23.86"/>
    <col collapsed="false" customWidth="false" hidden="false" outlineLevel="0" max="1024" min="16" style="3" width="14.14"/>
  </cols>
  <sheetData>
    <row r="2" customFormat="false" ht="26.25" hidden="false" customHeight="false" outlineLevel="0" collapsed="false">
      <c r="B2" s="6" t="s">
        <v>0</v>
      </c>
    </row>
    <row r="3" customFormat="false" ht="26.25" hidden="false" customHeight="false" outlineLevel="0" collapsed="false">
      <c r="B3" s="7"/>
    </row>
    <row r="4" s="11" customFormat="true" ht="81" hidden="false" customHeight="false" outlineLevel="0" collapsed="false">
      <c r="A4" s="8" t="s">
        <v>1</v>
      </c>
      <c r="B4" s="9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  <c r="K4" s="10" t="s">
        <v>11</v>
      </c>
      <c r="L4" s="10" t="s">
        <v>12</v>
      </c>
      <c r="M4" s="10" t="s">
        <v>13</v>
      </c>
      <c r="N4" s="10" t="s">
        <v>14</v>
      </c>
      <c r="O4" s="10" t="s">
        <v>15</v>
      </c>
    </row>
    <row r="5" customFormat="false" ht="134" hidden="false" customHeight="true" outlineLevel="0" collapsed="false">
      <c r="A5" s="12" t="n">
        <v>1</v>
      </c>
      <c r="B5" s="13" t="s">
        <v>16</v>
      </c>
      <c r="C5" s="14"/>
      <c r="D5" s="15" t="s">
        <v>17</v>
      </c>
      <c r="E5" s="16" t="n">
        <f aca="false">450*402*602/1000*7.8/1000*0.95</f>
        <v>806.962338</v>
      </c>
      <c r="F5" s="14" t="s">
        <v>18</v>
      </c>
      <c r="G5" s="17" t="s">
        <v>19</v>
      </c>
      <c r="H5" s="14" t="s">
        <v>20</v>
      </c>
      <c r="I5" s="14" t="s">
        <v>21</v>
      </c>
      <c r="J5" s="14" t="s">
        <v>22</v>
      </c>
      <c r="K5" s="14"/>
      <c r="L5" s="18"/>
      <c r="M5" s="19"/>
      <c r="N5" s="20" t="s">
        <v>23</v>
      </c>
      <c r="O5" s="14" t="n">
        <v>13930</v>
      </c>
    </row>
    <row r="6" customFormat="false" ht="134" hidden="false" customHeight="true" outlineLevel="0" collapsed="false">
      <c r="A6" s="12" t="n">
        <v>2</v>
      </c>
      <c r="B6" s="13" t="s">
        <v>16</v>
      </c>
      <c r="C6" s="14"/>
      <c r="D6" s="15" t="s">
        <v>24</v>
      </c>
      <c r="E6" s="16" t="n">
        <f aca="false">318*302*352/1000*7.8/1000*0.95</f>
        <v>250.49261952</v>
      </c>
      <c r="F6" s="14" t="s">
        <v>18</v>
      </c>
      <c r="G6" s="17" t="s">
        <v>25</v>
      </c>
      <c r="H6" s="14" t="s">
        <v>20</v>
      </c>
      <c r="I6" s="14" t="s">
        <v>21</v>
      </c>
      <c r="J6" s="14" t="s">
        <v>22</v>
      </c>
      <c r="K6" s="21"/>
      <c r="L6" s="22"/>
      <c r="M6" s="22"/>
      <c r="N6" s="20" t="s">
        <v>23</v>
      </c>
      <c r="O6" s="14" t="n">
        <v>6550</v>
      </c>
      <c r="P6" s="23"/>
    </row>
    <row r="7" customFormat="false" ht="134" hidden="false" customHeight="true" outlineLevel="0" collapsed="false">
      <c r="A7" s="12" t="n">
        <v>3</v>
      </c>
      <c r="B7" s="13" t="s">
        <v>16</v>
      </c>
      <c r="C7" s="14"/>
      <c r="D7" s="15" t="s">
        <v>26</v>
      </c>
      <c r="E7" s="16" t="n">
        <f aca="false">385*352*452/1000*7.8/1000*0.95</f>
        <v>453.8998464</v>
      </c>
      <c r="F7" s="14" t="s">
        <v>18</v>
      </c>
      <c r="G7" s="17" t="s">
        <v>27</v>
      </c>
      <c r="H7" s="14" t="s">
        <v>20</v>
      </c>
      <c r="I7" s="14" t="s">
        <v>21</v>
      </c>
      <c r="J7" s="14" t="s">
        <v>22</v>
      </c>
      <c r="K7" s="14"/>
      <c r="L7" s="24"/>
      <c r="M7" s="24"/>
      <c r="N7" s="20" t="s">
        <v>23</v>
      </c>
      <c r="O7" s="14" t="n">
        <v>9800</v>
      </c>
      <c r="P7" s="23"/>
    </row>
    <row r="8" customFormat="false" ht="134" hidden="false" customHeight="true" outlineLevel="0" collapsed="false">
      <c r="A8" s="12" t="n">
        <v>4</v>
      </c>
      <c r="B8" s="13" t="s">
        <v>16</v>
      </c>
      <c r="C8" s="14"/>
      <c r="D8" s="15" t="s">
        <v>28</v>
      </c>
      <c r="E8" s="16" t="n">
        <f aca="false">489*452*602/1000*7.8/1000*0.95</f>
        <v>985.96612296</v>
      </c>
      <c r="F8" s="14" t="s">
        <v>18</v>
      </c>
      <c r="G8" s="17" t="s">
        <v>29</v>
      </c>
      <c r="H8" s="14" t="s">
        <v>20</v>
      </c>
      <c r="I8" s="14" t="s">
        <v>21</v>
      </c>
      <c r="J8" s="14" t="s">
        <v>22</v>
      </c>
      <c r="K8" s="14"/>
      <c r="L8" s="24"/>
      <c r="M8" s="24"/>
      <c r="N8" s="20" t="s">
        <v>23</v>
      </c>
      <c r="O8" s="14" t="n">
        <v>14950</v>
      </c>
      <c r="P8" s="23"/>
    </row>
    <row r="9" customFormat="false" ht="134" hidden="false" customHeight="true" outlineLevel="0" collapsed="false">
      <c r="A9" s="12" t="n">
        <v>5</v>
      </c>
      <c r="B9" s="13" t="s">
        <v>16</v>
      </c>
      <c r="C9" s="14"/>
      <c r="D9" s="15" t="s">
        <v>30</v>
      </c>
      <c r="E9" s="16" t="n">
        <f aca="false">354*352*402/1000*7.8/1000*0.95</f>
        <v>371.18480256</v>
      </c>
      <c r="F9" s="14" t="s">
        <v>18</v>
      </c>
      <c r="G9" s="17" t="s">
        <v>31</v>
      </c>
      <c r="H9" s="14" t="s">
        <v>20</v>
      </c>
      <c r="I9" s="14" t="s">
        <v>21</v>
      </c>
      <c r="J9" s="14" t="s">
        <v>22</v>
      </c>
      <c r="K9" s="14"/>
      <c r="L9" s="24"/>
      <c r="M9" s="24"/>
      <c r="N9" s="20" t="s">
        <v>23</v>
      </c>
      <c r="O9" s="14" t="n">
        <v>7390</v>
      </c>
      <c r="P9" s="23"/>
    </row>
    <row r="10" s="23" customFormat="true" ht="16" hidden="false" customHeight="true" outlineLevel="0" collapsed="false">
      <c r="B10" s="25"/>
      <c r="E10" s="26" t="n">
        <f aca="false">SUM(E5:E9)</f>
        <v>2868.50572944</v>
      </c>
      <c r="L10" s="27"/>
      <c r="M10" s="27"/>
      <c r="N10" s="27"/>
    </row>
    <row r="11" s="23" customFormat="true" ht="16" hidden="false" customHeight="true" outlineLevel="0" collapsed="false">
      <c r="B11" s="25"/>
      <c r="L11" s="27"/>
      <c r="M11" s="27"/>
      <c r="N11" s="27"/>
    </row>
    <row r="12" s="23" customFormat="true" ht="16" hidden="false" customHeight="true" outlineLevel="0" collapsed="false">
      <c r="B12" s="25"/>
      <c r="L12" s="27"/>
      <c r="M12" s="27"/>
      <c r="N12" s="27"/>
    </row>
    <row r="13" s="23" customFormat="true" ht="16" hidden="false" customHeight="true" outlineLevel="0" collapsed="false">
      <c r="B13" s="25"/>
      <c r="L13" s="27"/>
      <c r="M13" s="27"/>
      <c r="N13" s="27"/>
    </row>
    <row r="14" s="23" customFormat="true" ht="16" hidden="false" customHeight="true" outlineLevel="0" collapsed="false">
      <c r="B14" s="25"/>
      <c r="L14" s="27"/>
      <c r="M14" s="27"/>
      <c r="N14" s="27"/>
    </row>
    <row r="15" s="23" customFormat="true" ht="16" hidden="false" customHeight="true" outlineLevel="0" collapsed="false">
      <c r="B15" s="25"/>
      <c r="L15" s="27"/>
      <c r="M15" s="27"/>
      <c r="N15" s="27"/>
    </row>
    <row r="16" s="23" customFormat="true" ht="16" hidden="false" customHeight="true" outlineLevel="0" collapsed="false">
      <c r="B16" s="25"/>
      <c r="L16" s="27"/>
      <c r="M16" s="27"/>
      <c r="N16" s="27"/>
    </row>
    <row r="17" s="23" customFormat="true" ht="16" hidden="false" customHeight="true" outlineLevel="0" collapsed="false">
      <c r="B17" s="25"/>
      <c r="L17" s="27"/>
      <c r="M17" s="27"/>
      <c r="N17" s="27"/>
    </row>
    <row r="18" s="23" customFormat="true" ht="16" hidden="false" customHeight="true" outlineLevel="0" collapsed="false">
      <c r="B18" s="25"/>
      <c r="L18" s="27"/>
      <c r="M18" s="27"/>
      <c r="N18" s="27"/>
    </row>
    <row r="19" s="23" customFormat="true" ht="16" hidden="false" customHeight="true" outlineLevel="0" collapsed="false">
      <c r="B19" s="25"/>
      <c r="L19" s="27"/>
      <c r="M19" s="27"/>
      <c r="N19" s="27"/>
    </row>
    <row r="20" customFormat="false" ht="16" hidden="false" customHeight="true" outlineLevel="0" collapsed="false"/>
    <row r="21" customFormat="false" ht="16" hidden="false" customHeight="true" outlineLevel="0" collapsed="false"/>
    <row r="22" customFormat="false" ht="16" hidden="false" customHeight="true" outlineLevel="0" collapsed="false"/>
    <row r="23" customFormat="false" ht="16" hidden="false" customHeight="true" outlineLevel="0" collapsed="false"/>
    <row r="24" customFormat="false" ht="16" hidden="false" customHeight="true" outlineLevel="0" collapsed="false"/>
    <row r="25" customFormat="false" ht="16" hidden="false" customHeight="true" outlineLevel="0" collapsed="false"/>
    <row r="26" customFormat="false" ht="16" hidden="false" customHeight="true" outlineLevel="0" collapsed="false"/>
    <row r="27" customFormat="false" ht="16" hidden="false" customHeight="true" outlineLevel="0" collapsed="false"/>
    <row r="28" customFormat="false" ht="16" hidden="false" customHeight="true" outlineLevel="0" collapsed="false"/>
    <row r="29" customFormat="false" ht="16" hidden="false" customHeight="true" outlineLevel="0" collapsed="false"/>
    <row r="30" customFormat="false" ht="16" hidden="false" customHeight="true" outlineLevel="0" collapsed="false"/>
    <row r="31" customFormat="false" ht="16" hidden="false" customHeight="true" outlineLevel="0" collapsed="false"/>
    <row r="32" customFormat="false" ht="16" hidden="false" customHeight="true" outlineLevel="0" collapsed="false"/>
    <row r="33" customFormat="false" ht="16" hidden="false" customHeight="true" outlineLevel="0" collapsed="false"/>
    <row r="34" customFormat="false" ht="16" hidden="false" customHeight="true" outlineLevel="0" collapsed="false"/>
    <row r="35" customFormat="false" ht="16" hidden="false" customHeight="true" outlineLevel="0" collapsed="false"/>
    <row r="36" customFormat="false" ht="16" hidden="false" customHeight="true" outlineLevel="0" collapsed="false"/>
    <row r="37" customFormat="false" ht="16" hidden="false" customHeight="true" outlineLevel="0" collapsed="false"/>
    <row r="38" customFormat="false" ht="16" hidden="false" customHeight="true" outlineLevel="0" collapsed="false"/>
    <row r="39" customFormat="false" ht="16" hidden="false" customHeight="true" outlineLevel="0" collapsed="false"/>
    <row r="40" customFormat="false" ht="16" hidden="false" customHeight="true" outlineLevel="0" collapsed="false"/>
    <row r="41" customFormat="false" ht="16" hidden="false" customHeight="true" outlineLevel="0" collapsed="false"/>
    <row r="42" customFormat="false" ht="16" hidden="false" customHeight="true" outlineLevel="0" collapsed="false"/>
    <row r="43" customFormat="false" ht="16" hidden="false" customHeight="true" outlineLevel="0" collapsed="false"/>
    <row r="44" customFormat="false" ht="16" hidden="false" customHeight="true" outlineLevel="0" collapsed="false"/>
    <row r="45" customFormat="false" ht="16" hidden="false" customHeight="true" outlineLevel="0" collapsed="false"/>
    <row r="46" customFormat="false" ht="16" hidden="false" customHeight="true" outlineLevel="0" collapsed="false"/>
    <row r="47" customFormat="false" ht="16" hidden="false" customHeight="true" outlineLevel="0" collapsed="false"/>
    <row r="48" customFormat="false" ht="16" hidden="false" customHeight="true" outlineLevel="0" collapsed="false"/>
    <row r="49" customFormat="false" ht="16" hidden="false" customHeight="true" outlineLevel="0" collapsed="false"/>
    <row r="50" customFormat="false" ht="16" hidden="false" customHeight="true" outlineLevel="0" collapsed="false"/>
    <row r="51" customFormat="false" ht="16" hidden="false" customHeight="true" outlineLevel="0" collapsed="false"/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G1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B10" activeCellId="0" sqref="B10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54.12"/>
    <col collapsed="false" customWidth="true" hidden="false" outlineLevel="0" max="2" min="2" style="0" width="82.66"/>
    <col collapsed="false" customWidth="true" hidden="false" outlineLevel="0" max="4" min="4" style="0" width="16.06"/>
  </cols>
  <sheetData>
    <row r="3" customFormat="false" ht="13.8" hidden="false" customHeight="false" outlineLevel="0" collapsed="false">
      <c r="A3" s="28" t="s">
        <v>32</v>
      </c>
      <c r="B3" s="28" t="s">
        <v>33</v>
      </c>
    </row>
    <row r="4" customFormat="false" ht="296" hidden="false" customHeight="true" outlineLevel="0" collapsed="false">
      <c r="A4" s="29"/>
      <c r="B4" s="29"/>
    </row>
    <row r="7" customFormat="false" ht="19.7" hidden="false" customHeight="false" outlineLevel="0" collapsed="false">
      <c r="D7" s="30" t="s">
        <v>18</v>
      </c>
      <c r="E7" s="30"/>
      <c r="F7" s="30"/>
      <c r="G7" s="30"/>
    </row>
    <row r="8" customFormat="false" ht="15.75" hidden="false" customHeight="true" outlineLevel="0" collapsed="false">
      <c r="D8" s="31" t="s">
        <v>34</v>
      </c>
      <c r="E8" s="32"/>
      <c r="F8" s="32"/>
      <c r="G8" s="32"/>
    </row>
    <row r="9" customFormat="false" ht="15.75" hidden="false" customHeight="true" outlineLevel="0" collapsed="false">
      <c r="D9" s="31" t="s">
        <v>35</v>
      </c>
      <c r="E9" s="32"/>
      <c r="F9" s="32"/>
      <c r="G9" s="32"/>
    </row>
    <row r="10" customFormat="false" ht="15.75" hidden="false" customHeight="true" outlineLevel="0" collapsed="false">
      <c r="D10" s="33" t="s">
        <v>36</v>
      </c>
      <c r="E10" s="32"/>
      <c r="F10" s="32"/>
      <c r="G10" s="32"/>
    </row>
    <row r="11" customFormat="false" ht="15.75" hidden="false" customHeight="true" outlineLevel="0" collapsed="false">
      <c r="D11" s="33" t="s">
        <v>37</v>
      </c>
      <c r="E11" s="33"/>
      <c r="F11" s="33"/>
      <c r="G11" s="33"/>
    </row>
  </sheetData>
  <mergeCells count="5">
    <mergeCell ref="D7:G7"/>
    <mergeCell ref="E8:G8"/>
    <mergeCell ref="E9:G9"/>
    <mergeCell ref="E10:G10"/>
    <mergeCell ref="D11:G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422</TotalTime>
  <Application>LibreOffice/7.2.6.2$Windows_X86_64 LibreOffice_project/b0ec3a565991f7569a5a7f5d24fed7f52653d754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2016-07-07T01:54:00Z</dcterms:created>
  <dc:creator>Ryu</dc:creator>
  <dc:description/>
  <dc:language>en-US</dc:language>
  <cp:lastModifiedBy/>
  <dcterms:modified xsi:type="dcterms:W3CDTF">2023-01-06T17:17:16Z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065DAC68A39B416E9F0ADDB3BF746D00</vt:lpwstr>
  </property>
  <property fmtid="{D5CDD505-2E9C-101B-9397-08002B2CF9AE}" pid="3" name="KSOProductBuildVer">
    <vt:lpwstr>2052-11.1.0.11636</vt:lpwstr>
  </property>
</Properties>
</file>