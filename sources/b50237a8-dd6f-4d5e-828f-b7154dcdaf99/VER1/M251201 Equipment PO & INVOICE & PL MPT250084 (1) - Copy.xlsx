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6\THÁNG 01\5. IMPORT OVERSEA\9.MPT250083-MPT250084 - SZHG2512029\"/>
    </mc:Choice>
  </mc:AlternateContent>
  <xr:revisionPtr revIDLastSave="0" documentId="13_ncr:1_{D43B92CC-38AA-42B5-95F1-FD9755478280}" xr6:coauthVersionLast="47" xr6:coauthVersionMax="47" xr10:uidLastSave="{00000000-0000-0000-0000-000000000000}"/>
  <bookViews>
    <workbookView xWindow="-60" yWindow="-60" windowWidth="28920" windowHeight="15720" tabRatio="946" activeTab="4" xr2:uid="{00000000-000D-0000-FFFF-FFFF00000000}"/>
  </bookViews>
  <sheets>
    <sheet name="MPVN2025072-25019" sheetId="48" r:id="rId1"/>
    <sheet name="251139-1116" sheetId="49" r:id="rId2"/>
    <sheet name="251046-1115" sheetId="50" r:id="rId3"/>
    <sheet name="251143-1115" sheetId="51" r:id="rId4"/>
    <sheet name="Invoice " sheetId="1" r:id="rId5"/>
    <sheet name="Packing list " sheetId="4" r:id="rId6"/>
  </sheets>
  <definedNames>
    <definedName name="_xlnm._FilterDatabase" localSheetId="4" hidden="1">'Invoice '!$A$15:$L$46</definedName>
    <definedName name="_xlnm._FilterDatabase" localSheetId="5" hidden="1">'Packing list '!$A$1:$K$48</definedName>
    <definedName name="_xlnm.Print_Area" localSheetId="4">'Invoice '!$A$1:$L$55</definedName>
    <definedName name="_xlnm.Print_Area" localSheetId="5">'Packing list 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4" l="1"/>
  <c r="I46" i="4"/>
  <c r="F46" i="4"/>
  <c r="B12" i="4"/>
  <c r="H11" i="4"/>
  <c r="B11" i="4"/>
  <c r="H10" i="4"/>
  <c r="H9" i="4"/>
  <c r="B9" i="4"/>
  <c r="H8" i="4"/>
  <c r="B8" i="4"/>
  <c r="H7" i="4"/>
  <c r="H6" i="4"/>
  <c r="B6" i="4"/>
  <c r="H5" i="4"/>
  <c r="H4" i="4"/>
  <c r="H3" i="4"/>
  <c r="B3" i="4"/>
  <c r="H2" i="4"/>
  <c r="L46" i="1"/>
  <c r="I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H38" i="51"/>
  <c r="D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6" i="50"/>
  <c r="D16" i="50"/>
  <c r="H15" i="50"/>
  <c r="H14" i="50"/>
  <c r="H13" i="50"/>
  <c r="H14" i="49"/>
  <c r="D14" i="49"/>
  <c r="H13" i="49"/>
  <c r="H14" i="48"/>
  <c r="D14" i="48"/>
  <c r="H13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10" authorId="0" shapeId="0" xr:uid="{00000000-0006-0000-0400-000001000000}">
      <text>
        <r>
          <rPr>
            <sz val="9"/>
            <rFont val="Tahoma"/>
            <charset val="134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<sst xmlns="http://schemas.openxmlformats.org/spreadsheetml/2006/main" count="628" uniqueCount="149">
  <si>
    <t>PURCHASE ORDER</t>
  </si>
  <si>
    <t>PO   NO:MPVN2025072-25019</t>
  </si>
  <si>
    <t>PO DATE:</t>
  </si>
  <si>
    <t>BUYER:</t>
  </si>
  <si>
    <t>MOONPO DEVELOPMENT(VIETNAM) LIMITED</t>
  </si>
  <si>
    <t>ADDRESS: LOT CN-01，DONG VAN IV INDUSTRIAL ZONE,LE HO WARD,NINH BINH PROVINCE, VIETNAM</t>
  </si>
  <si>
    <t>TAX NO: 0700834811</t>
  </si>
  <si>
    <t>PIC: MR. YC WONG</t>
  </si>
  <si>
    <t>SELLER:</t>
  </si>
  <si>
    <t>MOONPO TRADING(SHENZHEN)CO.,LTD</t>
  </si>
  <si>
    <t>ADDRESS: 1F,NO.28 XIANGXING ROAD,BUYONG COMMUNITY,SHAJING STREET,BAO'AN DISTRICT,SHENZHEN CITY,CHINA.</t>
  </si>
  <si>
    <t>I. DESCRIPTIONS OF GOODS:BY OCEAN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</si>
  <si>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</si>
  <si>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</si>
  <si>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</si>
  <si>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</si>
  <si>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</si>
  <si>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</si>
  <si>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</si>
  <si>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</si>
  <si>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DESC</t>
  </si>
  <si>
    <t>001-25019-01A</t>
  </si>
  <si>
    <t>PLASTIC TOOLING</t>
  </si>
  <si>
    <t>SET</t>
  </si>
  <si>
    <t>CHINA</t>
  </si>
  <si>
    <t>1. Cargo is new 100%.</t>
  </si>
  <si>
    <t>2. Delivery terms: C&amp;F HAIPHONG</t>
  </si>
  <si>
    <t>3. Delivery time: in DEC,2025</t>
  </si>
  <si>
    <t>4. Shipping method: BY OCEAN</t>
  </si>
  <si>
    <t>5. Packing standards: Following exporting standards</t>
  </si>
  <si>
    <t>6. Payment terms: TT</t>
  </si>
  <si>
    <t>7. PO has been acknowledged and signed by 02 parties and sent via email.</t>
  </si>
  <si>
    <t>ACCEPTED BY SELLER</t>
  </si>
  <si>
    <t>BUYER</t>
  </si>
  <si>
    <t>PO   NO:251139-1116</t>
  </si>
  <si>
    <t>001-25019-01A-01</t>
  </si>
  <si>
    <t>ROBOT ARM</t>
  </si>
  <si>
    <t>PO   NO:251046-1115</t>
  </si>
  <si>
    <t>L=958mm</t>
  </si>
  <si>
    <t>LOWER HEATING PLATE</t>
  </si>
  <si>
    <t>PCS</t>
  </si>
  <si>
    <t>L=1030mm</t>
  </si>
  <si>
    <t>4mm²</t>
  </si>
  <si>
    <t>HIGH TEMPERATURE WIRE</t>
  </si>
  <si>
    <t>M</t>
  </si>
  <si>
    <t>PO   NO:251143-1115</t>
  </si>
  <si>
    <t>CROSS FIRE</t>
  </si>
  <si>
    <t>DRIVE THE HANDLE SCREW FIXTURE</t>
  </si>
  <si>
    <t>DRILL THE FINISHED SCREW FIXTURE</t>
  </si>
  <si>
    <t>BEER MARBLE FIXTURE</t>
  </si>
  <si>
    <t>COUNTING FIXTURE</t>
  </si>
  <si>
    <t>USE THE CONSOLE DATE FIXTURE</t>
  </si>
  <si>
    <t>TRAVEL OPERATION</t>
  </si>
  <si>
    <t>POLISH THE PEN TIP FIXTURE</t>
  </si>
  <si>
    <t>WELDING FIXTURE</t>
  </si>
  <si>
    <t>WELDING PROBE LEAD FIXTURE</t>
  </si>
  <si>
    <t>PULL OUT THE PEN WIRE FIXTURE</t>
  </si>
  <si>
    <t>PANEL SEPARATION FIXTURE</t>
  </si>
  <si>
    <t>PRESS THE BATTERY CELL INTO THE SHELL FIXTURE</t>
  </si>
  <si>
    <t>PRESS THE BATTERY CELLS INTO THE FIXTURE</t>
  </si>
  <si>
    <t>BENDING BATTERY CELL FOOT FIXTURE</t>
  </si>
  <si>
    <t>BEER NUT FIXTURE</t>
  </si>
  <si>
    <t>INHALE AND APPLY THE STICKER FIXTURE</t>
  </si>
  <si>
    <t>INSTALL THE IRON SHEET FIXTURE</t>
  </si>
  <si>
    <t>HIT THE SHELL SCREW FIXTURE</t>
  </si>
  <si>
    <t>THE SCREW MACHINE HIT THE SMALL SCREW FIXTURE OF THE SHELL</t>
  </si>
  <si>
    <t>WELDING HORN WIRE FIXTURE</t>
  </si>
  <si>
    <t>SCREWDRIVER FIXTURES FOR PCB BOARDS</t>
  </si>
  <si>
    <t>SCREW MACHINE SCREW FIXTURE FOR THE MAIN MACHINE</t>
  </si>
  <si>
    <t>MARK THE DATE OF THE MAIN UNIT AND THE BATTERY DOOR FIXTURE</t>
  </si>
  <si>
    <t>PUNCHING BOX HOLE FIXTURE</t>
  </si>
  <si>
    <t>Operation Bluey</t>
  </si>
  <si>
    <t>BIAXIAL STRETCHING COLUMN FIXTURE</t>
  </si>
  <si>
    <t>100-13002-02-01 V01</t>
  </si>
  <si>
    <t>STENCIL</t>
  </si>
  <si>
    <t>COMMERCIAL INVOICE</t>
  </si>
  <si>
    <t>INVOICE NO:MPT250084</t>
  </si>
  <si>
    <t>NAME:MOONPO TRADING(SHENZHEN)CO.,LTD</t>
  </si>
  <si>
    <t>INVOICE DATE:2025-12-11</t>
  </si>
  <si>
    <t>PO NO：Below list</t>
  </si>
  <si>
    <t>PAYMENT TERMS: TT</t>
  </si>
  <si>
    <t>TELL: 0755-29698989</t>
  </si>
  <si>
    <t>DELIVERY TERMS:C&amp;F HAIPHONG</t>
  </si>
  <si>
    <t>PORT OF LOADING:SHEKOU</t>
  </si>
  <si>
    <t>NAME: MOONPO DEVELOPMENT(VIETNAM) LIMITED</t>
  </si>
  <si>
    <t>PORT OF DISCHARGE: HAIPHONG</t>
  </si>
  <si>
    <r>
      <rPr>
        <sz val="11"/>
        <color theme="1"/>
        <rFont val="宋体"/>
        <charset val="134"/>
      </rPr>
      <t>ADDRESS:</t>
    </r>
    <r>
      <rPr>
        <sz val="11"/>
        <color rgb="FF000000"/>
        <rFont val="宋体"/>
        <charset val="134"/>
      </rPr>
      <t xml:space="preserve"> LOT CN-01，DONG VAN IV INDUSTRIAL ZONE,LE HO WARD,NINH BINH PROVINCE, VIETNAM</t>
    </r>
  </si>
  <si>
    <t>PORT OF TRANSIT:</t>
  </si>
  <si>
    <t>ETD POL:2025-12-18</t>
  </si>
  <si>
    <t>TAX NUMBER: 0700834811</t>
  </si>
  <si>
    <t>ETA POD:2025-12-20</t>
  </si>
  <si>
    <t>TELL:(+84) 9885 16638, Email: ltlien@moonpo.com</t>
  </si>
  <si>
    <t>VESSEL/VOYAGE: BY OCEAN</t>
  </si>
  <si>
    <t>DESCRIPTIONS OF GOODS</t>
  </si>
  <si>
    <t>HS code</t>
  </si>
  <si>
    <t>ORIGIN OF
 GOODS</t>
  </si>
  <si>
    <t>PO NO.</t>
  </si>
  <si>
    <t>PO Line 
No.</t>
  </si>
  <si>
    <t>PART NO</t>
  </si>
  <si>
    <t>NAME</t>
  </si>
  <si>
    <t>MPVN2025072-25019</t>
  </si>
  <si>
    <t>塑胶模具</t>
  </si>
  <si>
    <t>251139-1116</t>
  </si>
  <si>
    <t>模具机械手治具</t>
  </si>
  <si>
    <t>251046-1115</t>
  </si>
  <si>
    <t>下层发热板</t>
  </si>
  <si>
    <t>上层发热板</t>
  </si>
  <si>
    <t>高温线</t>
  </si>
  <si>
    <t>251143-1115</t>
  </si>
  <si>
    <t>打手柄螺丝治具</t>
  </si>
  <si>
    <t>打成品螺丝治具</t>
  </si>
  <si>
    <t>啤弹珠治具</t>
  </si>
  <si>
    <t>计数治具</t>
  </si>
  <si>
    <t>打主机日期治具</t>
  </si>
  <si>
    <t>打磨笔头治具</t>
  </si>
  <si>
    <t>焊介子治具</t>
  </si>
  <si>
    <t>焊探笔引线治具</t>
  </si>
  <si>
    <t>拉探笔线治具</t>
  </si>
  <si>
    <t>分板治具</t>
  </si>
  <si>
    <t>压电池片入壳治具</t>
  </si>
  <si>
    <t>压电池片到位治具</t>
  </si>
  <si>
    <t>压弯电池片脚治具</t>
  </si>
  <si>
    <t>啤螺母治具</t>
  </si>
  <si>
    <t>吸气贴贴纸治具</t>
  </si>
  <si>
    <t>装铁片治具</t>
  </si>
  <si>
    <t>打中壳螺丝治具</t>
  </si>
  <si>
    <t>螺丝机打中壳
小螺丝治具</t>
  </si>
  <si>
    <t>焊喇叭线治具</t>
  </si>
  <si>
    <t>打PCB板螺丝治具</t>
  </si>
  <si>
    <t>螺丝机打主机
螺丝治具</t>
  </si>
  <si>
    <t>打主机日期及
电池门治具</t>
  </si>
  <si>
    <t>冲彩盒孔治具</t>
  </si>
  <si>
    <t>啤胶柱治具</t>
  </si>
  <si>
    <t>钢网</t>
  </si>
  <si>
    <t>TOTAL:</t>
  </si>
  <si>
    <t>PACKING LIST</t>
  </si>
  <si>
    <t>QUANTITY OF GOODS</t>
  </si>
  <si>
    <t>NO OF CARTON</t>
  </si>
  <si>
    <t>G/W
(KG)</t>
  </si>
  <si>
    <t>N/W
(KG)</t>
  </si>
  <si>
    <t>M3</t>
  </si>
  <si>
    <t>A01</t>
  </si>
  <si>
    <t>B1</t>
  </si>
  <si>
    <t>B2</t>
  </si>
  <si>
    <t>B3</t>
  </si>
  <si>
    <t>B4</t>
  </si>
  <si>
    <t>B5</t>
  </si>
  <si>
    <t>NO OF PACKAGE:6 PACKAGE ONLY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</si>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</sst>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 "/>
    <numFmt numFmtId="165" formatCode="_ * #,##0_ ;_ * \-#,##0_ ;_ * &quot;-&quot;_ ;_ @_ "/>
    <numFmt numFmtId="166" formatCode="_-* #,##0_-;\-* #,##0_-;_-* &quot;-&quot;_-;_-@_-"/>
    <numFmt numFmtId="167" formatCode="0_ "/>
    <numFmt numFmtId="168" formatCode="0.0000_ "/>
  </numFmts>
  <fonts count="40">
    <font>
      <sz val="11"/>
      <color theme="1"/>
      <name val="Calibri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1"/>
      <color rgb="FFFF0000"/>
      <name val="Arial"/>
      <charset val="134"/>
    </font>
    <font>
      <b/>
      <sz val="14"/>
      <name val="宋体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u/>
      <sz val="11"/>
      <name val="宋体"/>
      <charset val="134"/>
    </font>
    <font>
      <b/>
      <sz val="11"/>
      <name val="仿宋"/>
      <charset val="134"/>
    </font>
    <font>
      <b/>
      <sz val="11"/>
      <color theme="1"/>
      <name val="仿宋"/>
      <charset val="134"/>
    </font>
    <font>
      <b/>
      <sz val="12"/>
      <color rgb="FF000000"/>
      <name val="宋体"/>
      <charset val="134"/>
    </font>
    <font>
      <b/>
      <sz val="14"/>
      <name val="仿宋"/>
      <charset val="134"/>
    </font>
    <font>
      <b/>
      <sz val="14"/>
      <color theme="1"/>
      <name val="仿宋"/>
      <charset val="134"/>
    </font>
    <font>
      <b/>
      <sz val="14"/>
      <color theme="1"/>
      <name val="宋体"/>
      <charset val="134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rgb="FF0000FF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b/>
      <sz val="10"/>
      <color theme="1"/>
      <name val="宋体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name val="돋움"/>
      <charset val="134"/>
    </font>
    <font>
      <sz val="11"/>
      <color indexed="8"/>
      <name val="맑은 고딕"/>
      <charset val="134"/>
    </font>
    <font>
      <sz val="11"/>
      <color rgb="FF000000"/>
      <name val="宋体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34" fillId="0" borderId="0" applyNumberFormat="0" applyFill="0" applyBorder="0" applyAlignment="0" applyProtection="0"/>
    <xf numFmtId="165" fontId="3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66" fontId="35" fillId="0" borderId="0" applyFont="0" applyFill="0" applyBorder="0" applyAlignment="0" applyProtection="0"/>
    <xf numFmtId="0" fontId="32" fillId="0" borderId="0">
      <alignment vertical="center"/>
    </xf>
    <xf numFmtId="0" fontId="35" fillId="0" borderId="0"/>
    <xf numFmtId="0" fontId="33" fillId="0" borderId="0">
      <alignment vertical="center"/>
    </xf>
    <xf numFmtId="0" fontId="39" fillId="0" borderId="0"/>
    <xf numFmtId="0" fontId="32" fillId="0" borderId="0">
      <alignment vertical="center"/>
    </xf>
    <xf numFmtId="166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29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7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0" fontId="8" fillId="0" borderId="9" xfId="8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167" fontId="5" fillId="0" borderId="9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9" fillId="0" borderId="6" xfId="0" applyFont="1" applyBorder="1"/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6" fillId="0" borderId="4" xfId="0" applyNumberFormat="1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24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24" xfId="0" applyFont="1" applyBorder="1" applyAlignment="1">
      <alignment vertical="center"/>
    </xf>
    <xf numFmtId="164" fontId="1" fillId="0" borderId="0" xfId="0" applyNumberFormat="1" applyFont="1"/>
    <xf numFmtId="0" fontId="1" fillId="0" borderId="24" xfId="0" applyFont="1" applyBorder="1"/>
    <xf numFmtId="164" fontId="7" fillId="0" borderId="9" xfId="0" applyNumberFormat="1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right" vertical="center"/>
    </xf>
    <xf numFmtId="0" fontId="6" fillId="0" borderId="25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 wrapText="1"/>
    </xf>
    <xf numFmtId="0" fontId="4" fillId="0" borderId="23" xfId="0" applyFont="1" applyBorder="1" applyAlignment="1">
      <alignment horizontal="center" vertical="center"/>
    </xf>
    <xf numFmtId="0" fontId="2" fillId="0" borderId="24" xfId="0" applyFont="1" applyBorder="1"/>
    <xf numFmtId="164" fontId="2" fillId="0" borderId="21" xfId="0" applyNumberFormat="1" applyFont="1" applyBorder="1" applyAlignment="1">
      <alignment horizontal="right"/>
    </xf>
    <xf numFmtId="0" fontId="2" fillId="0" borderId="26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8" fontId="13" fillId="0" borderId="0" xfId="0" applyNumberFormat="1" applyFont="1" applyAlignment="1">
      <alignment horizontal="right"/>
    </xf>
    <xf numFmtId="0" fontId="1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29" xfId="0" applyFont="1" applyBorder="1" applyAlignment="1">
      <alignment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0" fontId="13" fillId="0" borderId="29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8" fillId="0" borderId="11" xfId="8" applyFont="1" applyBorder="1" applyAlignment="1">
      <alignment horizontal="left" wrapText="1"/>
    </xf>
    <xf numFmtId="0" fontId="11" fillId="0" borderId="6" xfId="0" applyFont="1" applyBorder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20" fillId="0" borderId="0" xfId="0" applyFont="1"/>
    <xf numFmtId="0" fontId="13" fillId="0" borderId="20" xfId="0" applyFont="1" applyBorder="1"/>
    <xf numFmtId="0" fontId="13" fillId="0" borderId="21" xfId="0" applyFont="1" applyBorder="1"/>
    <xf numFmtId="0" fontId="1" fillId="0" borderId="3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/>
    </xf>
    <xf numFmtId="168" fontId="8" fillId="0" borderId="19" xfId="8" applyNumberFormat="1" applyFont="1" applyBorder="1" applyAlignment="1">
      <alignment horizontal="right" wrapText="1"/>
    </xf>
    <xf numFmtId="168" fontId="7" fillId="0" borderId="36" xfId="0" applyNumberFormat="1" applyFont="1" applyBorder="1" applyAlignment="1">
      <alignment horizontal="right"/>
    </xf>
    <xf numFmtId="168" fontId="8" fillId="0" borderId="9" xfId="8" applyNumberFormat="1" applyFont="1" applyBorder="1" applyAlignment="1">
      <alignment horizontal="right" wrapText="1"/>
    </xf>
    <xf numFmtId="0" fontId="6" fillId="0" borderId="9" xfId="0" applyFont="1" applyBorder="1" applyAlignment="1">
      <alignment horizontal="center"/>
    </xf>
    <xf numFmtId="168" fontId="6" fillId="0" borderId="9" xfId="0" applyNumberFormat="1" applyFont="1" applyBorder="1" applyAlignment="1">
      <alignment horizontal="center"/>
    </xf>
    <xf numFmtId="168" fontId="6" fillId="0" borderId="36" xfId="0" applyNumberFormat="1" applyFont="1" applyBorder="1" applyAlignment="1">
      <alignment horizontal="right"/>
    </xf>
    <xf numFmtId="0" fontId="21" fillId="0" borderId="4" xfId="0" applyFont="1" applyBorder="1" applyAlignment="1">
      <alignment horizontal="right" vertical="center" wrapText="1"/>
    </xf>
    <xf numFmtId="0" fontId="22" fillId="0" borderId="4" xfId="0" applyFont="1" applyBorder="1" applyAlignment="1">
      <alignment vertical="center" wrapText="1"/>
    </xf>
    <xf numFmtId="168" fontId="22" fillId="0" borderId="4" xfId="0" applyNumberFormat="1" applyFont="1" applyBorder="1" applyAlignment="1">
      <alignment horizontal="right" vertical="center" wrapText="1"/>
    </xf>
    <xf numFmtId="168" fontId="22" fillId="0" borderId="24" xfId="0" applyNumberFormat="1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168" fontId="22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23" fillId="0" borderId="0" xfId="0" applyFont="1" applyAlignment="1">
      <alignment horizontal="center" vertical="center" wrapText="1"/>
    </xf>
    <xf numFmtId="168" fontId="23" fillId="0" borderId="0" xfId="0" applyNumberFormat="1" applyFont="1" applyAlignment="1">
      <alignment horizontal="right" vertical="center" wrapText="1"/>
    </xf>
    <xf numFmtId="168" fontId="23" fillId="0" borderId="24" xfId="0" applyNumberFormat="1" applyFont="1" applyBorder="1" applyAlignment="1">
      <alignment horizontal="right" vertical="center" wrapText="1"/>
    </xf>
    <xf numFmtId="0" fontId="10" fillId="0" borderId="21" xfId="0" applyFont="1" applyBorder="1" applyAlignment="1">
      <alignment horizontal="right" vertical="center" wrapText="1"/>
    </xf>
    <xf numFmtId="0" fontId="23" fillId="0" borderId="21" xfId="0" applyFont="1" applyBorder="1" applyAlignment="1">
      <alignment horizontal="center" vertical="center" wrapText="1"/>
    </xf>
    <xf numFmtId="168" fontId="23" fillId="0" borderId="21" xfId="0" applyNumberFormat="1" applyFont="1" applyBorder="1" applyAlignment="1">
      <alignment horizontal="right" vertical="center" wrapText="1"/>
    </xf>
    <xf numFmtId="168" fontId="23" fillId="0" borderId="26" xfId="0" applyNumberFormat="1" applyFont="1" applyBorder="1" applyAlignment="1">
      <alignment horizontal="right" vertical="center" wrapText="1"/>
    </xf>
    <xf numFmtId="0" fontId="13" fillId="0" borderId="0" xfId="8" applyFont="1"/>
    <xf numFmtId="0" fontId="13" fillId="0" borderId="0" xfId="8" applyFont="1" applyAlignment="1">
      <alignment vertical="center"/>
    </xf>
    <xf numFmtId="0" fontId="13" fillId="0" borderId="0" xfId="8" applyFont="1" applyAlignment="1">
      <alignment horizontal="left"/>
    </xf>
    <xf numFmtId="0" fontId="1" fillId="0" borderId="0" xfId="8" applyFont="1"/>
    <xf numFmtId="0" fontId="13" fillId="0" borderId="0" xfId="8" applyFont="1" applyAlignment="1">
      <alignment horizontal="center"/>
    </xf>
    <xf numFmtId="164" fontId="13" fillId="0" borderId="0" xfId="8" applyNumberFormat="1" applyFont="1" applyAlignment="1">
      <alignment horizontal="right"/>
    </xf>
    <xf numFmtId="168" fontId="24" fillId="0" borderId="0" xfId="8" applyNumberFormat="1" applyFont="1" applyAlignment="1">
      <alignment horizontal="right"/>
    </xf>
    <xf numFmtId="0" fontId="15" fillId="0" borderId="6" xfId="8" applyFont="1" applyBorder="1"/>
    <xf numFmtId="0" fontId="15" fillId="0" borderId="0" xfId="8" applyFont="1"/>
    <xf numFmtId="0" fontId="15" fillId="0" borderId="0" xfId="8" applyFont="1" applyAlignment="1">
      <alignment horizontal="left"/>
    </xf>
    <xf numFmtId="0" fontId="26" fillId="0" borderId="0" xfId="8" applyFont="1"/>
    <xf numFmtId="0" fontId="15" fillId="3" borderId="0" xfId="8" applyFont="1" applyFill="1" applyAlignment="1">
      <alignment horizontal="left"/>
    </xf>
    <xf numFmtId="0" fontId="13" fillId="3" borderId="0" xfId="8" applyFont="1" applyFill="1" applyAlignment="1">
      <alignment horizontal="left" vertical="center"/>
    </xf>
    <xf numFmtId="164" fontId="13" fillId="3" borderId="0" xfId="8" applyNumberFormat="1" applyFont="1" applyFill="1" applyAlignment="1">
      <alignment horizontal="right" vertical="center"/>
    </xf>
    <xf numFmtId="168" fontId="24" fillId="0" borderId="24" xfId="8" applyNumberFormat="1" applyFont="1" applyBorder="1" applyAlignment="1">
      <alignment horizontal="right" vertical="center"/>
    </xf>
    <xf numFmtId="14" fontId="13" fillId="3" borderId="0" xfId="8" applyNumberFormat="1" applyFont="1" applyFill="1" applyAlignment="1">
      <alignment horizontal="left" vertical="center"/>
    </xf>
    <xf numFmtId="0" fontId="27" fillId="0" borderId="3" xfId="8" applyFont="1" applyBorder="1"/>
    <xf numFmtId="0" fontId="27" fillId="0" borderId="4" xfId="8" applyFont="1" applyBorder="1"/>
    <xf numFmtId="0" fontId="27" fillId="0" borderId="4" xfId="8" applyFont="1" applyBorder="1" applyAlignment="1">
      <alignment horizontal="left"/>
    </xf>
    <xf numFmtId="0" fontId="26" fillId="0" borderId="4" xfId="8" applyFont="1" applyBorder="1"/>
    <xf numFmtId="0" fontId="15" fillId="0" borderId="4" xfId="8" applyFont="1" applyBorder="1" applyAlignment="1">
      <alignment horizontal="center"/>
    </xf>
    <xf numFmtId="164" fontId="15" fillId="0" borderId="4" xfId="8" applyNumberFormat="1" applyFont="1" applyBorder="1" applyAlignment="1">
      <alignment horizontal="right"/>
    </xf>
    <xf numFmtId="168" fontId="24" fillId="0" borderId="23" xfId="8" applyNumberFormat="1" applyFont="1" applyBorder="1" applyAlignment="1">
      <alignment horizontal="right"/>
    </xf>
    <xf numFmtId="0" fontId="15" fillId="0" borderId="6" xfId="8" applyFont="1" applyBorder="1" applyAlignment="1">
      <alignment vertical="center"/>
    </xf>
    <xf numFmtId="0" fontId="15" fillId="0" borderId="0" xfId="8" applyFont="1" applyAlignment="1">
      <alignment horizontal="center"/>
    </xf>
    <xf numFmtId="164" fontId="15" fillId="0" borderId="0" xfId="8" applyNumberFormat="1" applyFont="1" applyAlignment="1">
      <alignment horizontal="right"/>
    </xf>
    <xf numFmtId="168" fontId="24" fillId="0" borderId="24" xfId="8" applyNumberFormat="1" applyFont="1" applyBorder="1" applyAlignment="1">
      <alignment horizontal="right"/>
    </xf>
    <xf numFmtId="0" fontId="15" fillId="0" borderId="29" xfId="8" applyFont="1" applyBorder="1"/>
    <xf numFmtId="0" fontId="15" fillId="0" borderId="14" xfId="8" applyFont="1" applyBorder="1"/>
    <xf numFmtId="0" fontId="15" fillId="0" borderId="14" xfId="8" applyFont="1" applyBorder="1" applyAlignment="1">
      <alignment horizontal="left"/>
    </xf>
    <xf numFmtId="0" fontId="26" fillId="0" borderId="14" xfId="8" applyFont="1" applyBorder="1"/>
    <xf numFmtId="0" fontId="15" fillId="0" borderId="14" xfId="8" applyFont="1" applyBorder="1" applyAlignment="1">
      <alignment horizontal="center"/>
    </xf>
    <xf numFmtId="164" fontId="15" fillId="0" borderId="14" xfId="8" applyNumberFormat="1" applyFont="1" applyBorder="1" applyAlignment="1">
      <alignment horizontal="right"/>
    </xf>
    <xf numFmtId="168" fontId="24" fillId="0" borderId="37" xfId="8" applyNumberFormat="1" applyFont="1" applyBorder="1" applyAlignment="1">
      <alignment horizontal="right"/>
    </xf>
    <xf numFmtId="0" fontId="27" fillId="0" borderId="3" xfId="8" applyFont="1" applyBorder="1" applyAlignment="1">
      <alignment vertical="center"/>
    </xf>
    <xf numFmtId="0" fontId="27" fillId="0" borderId="4" xfId="8" applyFont="1" applyBorder="1" applyAlignment="1">
      <alignment vertical="center"/>
    </xf>
    <xf numFmtId="0" fontId="27" fillId="0" borderId="4" xfId="8" applyFont="1" applyBorder="1" applyAlignment="1">
      <alignment horizontal="left" vertical="center"/>
    </xf>
    <xf numFmtId="0" fontId="26" fillId="0" borderId="4" xfId="8" applyFont="1" applyBorder="1" applyAlignment="1">
      <alignment vertical="center"/>
    </xf>
    <xf numFmtId="0" fontId="15" fillId="0" borderId="4" xfId="8" applyFont="1" applyBorder="1" applyAlignment="1">
      <alignment horizontal="center" vertical="center"/>
    </xf>
    <xf numFmtId="164" fontId="15" fillId="0" borderId="4" xfId="8" applyNumberFormat="1" applyFont="1" applyBorder="1" applyAlignment="1">
      <alignment horizontal="right" vertical="center"/>
    </xf>
    <xf numFmtId="168" fontId="24" fillId="0" borderId="23" xfId="8" applyNumberFormat="1" applyFont="1" applyBorder="1" applyAlignment="1">
      <alignment horizontal="right" vertical="center"/>
    </xf>
    <xf numFmtId="0" fontId="15" fillId="0" borderId="29" xfId="8" applyFont="1" applyBorder="1" applyAlignment="1">
      <alignment vertical="center"/>
    </xf>
    <xf numFmtId="0" fontId="27" fillId="0" borderId="6" xfId="8" applyFont="1" applyBorder="1" applyAlignment="1">
      <alignment vertical="center"/>
    </xf>
    <xf numFmtId="0" fontId="15" fillId="0" borderId="0" xfId="8" applyFont="1" applyAlignment="1">
      <alignment vertical="center"/>
    </xf>
    <xf numFmtId="0" fontId="15" fillId="0" borderId="0" xfId="8" applyFont="1" applyAlignment="1">
      <alignment horizontal="left" vertical="center"/>
    </xf>
    <xf numFmtId="0" fontId="26" fillId="0" borderId="0" xfId="8" applyFont="1" applyAlignment="1">
      <alignment vertical="center"/>
    </xf>
    <xf numFmtId="0" fontId="15" fillId="0" borderId="0" xfId="8" applyFont="1" applyAlignment="1">
      <alignment horizontal="center" vertical="center"/>
    </xf>
    <xf numFmtId="164" fontId="15" fillId="0" borderId="0" xfId="8" applyNumberFormat="1" applyFont="1" applyAlignment="1">
      <alignment horizontal="right" vertical="center"/>
    </xf>
    <xf numFmtId="0" fontId="27" fillId="0" borderId="9" xfId="8" applyFont="1" applyBorder="1" applyAlignment="1">
      <alignment horizontal="center" vertical="center" wrapText="1"/>
    </xf>
    <xf numFmtId="0" fontId="27" fillId="0" borderId="11" xfId="8" applyFont="1" applyBorder="1" applyAlignment="1">
      <alignment horizontal="center" vertical="center" wrapText="1"/>
    </xf>
    <xf numFmtId="0" fontId="8" fillId="0" borderId="18" xfId="8" applyFont="1" applyBorder="1" applyAlignment="1">
      <alignment horizontal="left" vertical="center"/>
    </xf>
    <xf numFmtId="0" fontId="8" fillId="0" borderId="9" xfId="8" applyFont="1" applyBorder="1" applyAlignment="1">
      <alignment horizontal="left" vertical="center" wrapText="1"/>
    </xf>
    <xf numFmtId="0" fontId="8" fillId="0" borderId="32" xfId="8" applyFont="1" applyBorder="1" applyAlignment="1">
      <alignment horizontal="left" vertical="center" wrapText="1"/>
    </xf>
    <xf numFmtId="0" fontId="8" fillId="0" borderId="19" xfId="8" applyFont="1" applyBorder="1" applyAlignment="1">
      <alignment horizontal="left" vertical="center"/>
    </xf>
    <xf numFmtId="0" fontId="8" fillId="0" borderId="9" xfId="8" applyFont="1" applyBorder="1" applyAlignment="1">
      <alignment horizontal="right" vertical="center" wrapText="1"/>
    </xf>
    <xf numFmtId="168" fontId="8" fillId="0" borderId="39" xfId="8" applyNumberFormat="1" applyFont="1" applyBorder="1" applyAlignment="1">
      <alignment horizontal="right" vertical="center" wrapText="1"/>
    </xf>
    <xf numFmtId="0" fontId="8" fillId="0" borderId="11" xfId="8" applyFont="1" applyBorder="1" applyAlignment="1">
      <alignment horizontal="left" vertical="center" wrapText="1"/>
    </xf>
    <xf numFmtId="0" fontId="8" fillId="0" borderId="9" xfId="8" applyFont="1" applyBorder="1" applyAlignment="1">
      <alignment horizontal="center" vertical="center"/>
    </xf>
    <xf numFmtId="0" fontId="5" fillId="0" borderId="9" xfId="8" applyFont="1" applyBorder="1" applyAlignment="1">
      <alignment horizontal="center" vertical="center"/>
    </xf>
    <xf numFmtId="0" fontId="27" fillId="0" borderId="9" xfId="8" applyFont="1" applyBorder="1" applyAlignment="1">
      <alignment horizontal="center" vertical="center"/>
    </xf>
    <xf numFmtId="4" fontId="27" fillId="0" borderId="9" xfId="8" applyNumberFormat="1" applyFont="1" applyBorder="1" applyAlignment="1">
      <alignment horizontal="center" vertical="center"/>
    </xf>
    <xf numFmtId="164" fontId="28" fillId="0" borderId="9" xfId="0" applyNumberFormat="1" applyFont="1" applyBorder="1" applyAlignment="1">
      <alignment horizontal="right" vertical="center"/>
    </xf>
    <xf numFmtId="0" fontId="29" fillId="0" borderId="0" xfId="8" applyFont="1"/>
    <xf numFmtId="0" fontId="30" fillId="0" borderId="0" xfId="8" applyFont="1"/>
    <xf numFmtId="0" fontId="15" fillId="0" borderId="20" xfId="8" applyFont="1" applyBorder="1"/>
    <xf numFmtId="0" fontId="15" fillId="0" borderId="21" xfId="8" applyFont="1" applyBorder="1"/>
    <xf numFmtId="0" fontId="15" fillId="0" borderId="21" xfId="8" applyFont="1" applyBorder="1" applyAlignment="1">
      <alignment horizontal="left"/>
    </xf>
    <xf numFmtId="0" fontId="26" fillId="0" borderId="21" xfId="8" applyFont="1" applyBorder="1"/>
    <xf numFmtId="0" fontId="15" fillId="0" borderId="21" xfId="8" applyFont="1" applyBorder="1" applyAlignment="1">
      <alignment horizontal="center"/>
    </xf>
    <xf numFmtId="164" fontId="15" fillId="0" borderId="21" xfId="8" applyNumberFormat="1" applyFont="1" applyBorder="1" applyAlignment="1">
      <alignment horizontal="right"/>
    </xf>
    <xf numFmtId="168" fontId="24" fillId="0" borderId="26" xfId="8" applyNumberFormat="1" applyFont="1" applyBorder="1" applyAlignment="1">
      <alignment horizontal="right"/>
    </xf>
    <xf numFmtId="0" fontId="8" fillId="0" borderId="15" xfId="8" applyFont="1" applyBorder="1" applyAlignment="1">
      <alignment horizontal="left" vertical="center"/>
    </xf>
    <xf numFmtId="0" fontId="8" fillId="0" borderId="10" xfId="8" applyFont="1" applyBorder="1" applyAlignment="1">
      <alignment horizontal="left" vertical="center" wrapText="1"/>
    </xf>
    <xf numFmtId="0" fontId="25" fillId="0" borderId="1" xfId="8" applyFont="1" applyBorder="1" applyAlignment="1">
      <alignment horizontal="center" vertical="center"/>
    </xf>
    <xf numFmtId="0" fontId="25" fillId="0" borderId="2" xfId="8" applyFont="1" applyBorder="1" applyAlignment="1">
      <alignment horizontal="center" vertical="center"/>
    </xf>
    <xf numFmtId="0" fontId="25" fillId="0" borderId="22" xfId="8" applyFont="1" applyBorder="1" applyAlignment="1">
      <alignment horizontal="center" vertical="center"/>
    </xf>
    <xf numFmtId="0" fontId="15" fillId="0" borderId="0" xfId="8" applyFont="1" applyAlignment="1">
      <alignment horizontal="left" vertical="center" wrapText="1"/>
    </xf>
    <xf numFmtId="0" fontId="26" fillId="0" borderId="0" xfId="8" applyFont="1" applyAlignment="1">
      <alignment horizontal="left" vertical="center" wrapText="1"/>
    </xf>
    <xf numFmtId="0" fontId="15" fillId="0" borderId="0" xfId="8" applyFont="1" applyAlignment="1">
      <alignment horizontal="center" vertical="center" wrapText="1"/>
    </xf>
    <xf numFmtId="164" fontId="15" fillId="0" borderId="0" xfId="8" applyNumberFormat="1" applyFont="1" applyAlignment="1">
      <alignment horizontal="right" vertical="center" wrapText="1"/>
    </xf>
    <xf numFmtId="168" fontId="24" fillId="0" borderId="24" xfId="8" applyNumberFormat="1" applyFont="1" applyBorder="1" applyAlignment="1">
      <alignment horizontal="right" vertical="center" wrapText="1"/>
    </xf>
    <xf numFmtId="0" fontId="15" fillId="0" borderId="14" xfId="8" applyFont="1" applyBorder="1" applyAlignment="1">
      <alignment horizontal="left" vertical="center" wrapText="1"/>
    </xf>
    <xf numFmtId="0" fontId="26" fillId="0" borderId="14" xfId="8" applyFont="1" applyBorder="1" applyAlignment="1">
      <alignment horizontal="left" vertical="center" wrapText="1"/>
    </xf>
    <xf numFmtId="0" fontId="15" fillId="0" borderId="14" xfId="8" applyFont="1" applyBorder="1" applyAlignment="1">
      <alignment horizontal="center" vertical="center" wrapText="1"/>
    </xf>
    <xf numFmtId="164" fontId="15" fillId="0" borderId="14" xfId="8" applyNumberFormat="1" applyFont="1" applyBorder="1" applyAlignment="1">
      <alignment horizontal="right" vertical="center" wrapText="1"/>
    </xf>
    <xf numFmtId="168" fontId="24" fillId="0" borderId="37" xfId="8" applyNumberFormat="1" applyFont="1" applyBorder="1" applyAlignment="1">
      <alignment horizontal="right" vertical="center" wrapText="1"/>
    </xf>
    <xf numFmtId="0" fontId="27" fillId="0" borderId="10" xfId="8" applyFont="1" applyBorder="1" applyAlignment="1">
      <alignment horizontal="center" vertical="center" wrapText="1"/>
    </xf>
    <xf numFmtId="0" fontId="27" fillId="0" borderId="11" xfId="8" applyFont="1" applyBorder="1" applyAlignment="1">
      <alignment horizontal="left" vertical="center" wrapText="1"/>
    </xf>
    <xf numFmtId="0" fontId="23" fillId="0" borderId="6" xfId="8" applyFont="1" applyBorder="1" applyAlignment="1">
      <alignment horizontal="center"/>
    </xf>
    <xf numFmtId="0" fontId="23" fillId="0" borderId="0" xfId="8" applyFont="1" applyAlignment="1">
      <alignment horizontal="center"/>
    </xf>
    <xf numFmtId="0" fontId="23" fillId="0" borderId="0" xfId="8" applyFont="1" applyAlignment="1">
      <alignment horizontal="left"/>
    </xf>
    <xf numFmtId="164" fontId="23" fillId="0" borderId="0" xfId="8" applyNumberFormat="1" applyFont="1" applyAlignment="1">
      <alignment horizontal="right"/>
    </xf>
    <xf numFmtId="168" fontId="31" fillId="0" borderId="24" xfId="8" applyNumberFormat="1" applyFont="1" applyBorder="1" applyAlignment="1">
      <alignment horizontal="right"/>
    </xf>
    <xf numFmtId="0" fontId="27" fillId="0" borderId="31" xfId="8" applyFont="1" applyBorder="1" applyAlignment="1">
      <alignment horizontal="center" vertical="center"/>
    </xf>
    <xf numFmtId="0" fontId="27" fillId="0" borderId="18" xfId="8" applyFont="1" applyBorder="1" applyAlignment="1">
      <alignment horizontal="center" vertical="center"/>
    </xf>
    <xf numFmtId="0" fontId="5" fillId="0" borderId="17" xfId="8" applyFont="1" applyBorder="1" applyAlignment="1">
      <alignment horizontal="center" vertical="center"/>
    </xf>
    <xf numFmtId="0" fontId="5" fillId="0" borderId="19" xfId="8" applyFont="1" applyBorder="1" applyAlignment="1">
      <alignment horizontal="center" vertical="center"/>
    </xf>
    <xf numFmtId="0" fontId="27" fillId="0" borderId="17" xfId="8" applyFont="1" applyBorder="1" applyAlignment="1">
      <alignment horizontal="center" vertical="center"/>
    </xf>
    <xf numFmtId="0" fontId="27" fillId="0" borderId="19" xfId="8" applyFont="1" applyBorder="1" applyAlignment="1">
      <alignment horizontal="center" vertical="center"/>
    </xf>
    <xf numFmtId="164" fontId="27" fillId="0" borderId="17" xfId="8" applyNumberFormat="1" applyFont="1" applyBorder="1" applyAlignment="1">
      <alignment horizontal="center" vertical="center" wrapText="1"/>
    </xf>
    <xf numFmtId="164" fontId="27" fillId="0" borderId="19" xfId="8" applyNumberFormat="1" applyFont="1" applyBorder="1" applyAlignment="1">
      <alignment horizontal="center" vertical="center" wrapText="1"/>
    </xf>
    <xf numFmtId="168" fontId="27" fillId="0" borderId="38" xfId="8" applyNumberFormat="1" applyFont="1" applyBorder="1" applyAlignment="1">
      <alignment horizontal="center" vertical="center" wrapText="1"/>
    </xf>
    <xf numFmtId="168" fontId="27" fillId="0" borderId="39" xfId="8" applyNumberFormat="1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68" fontId="14" fillId="0" borderId="28" xfId="0" applyNumberFormat="1" applyFont="1" applyBorder="1" applyAlignment="1">
      <alignment horizontal="right" vertical="center"/>
    </xf>
    <xf numFmtId="168" fontId="14" fillId="0" borderId="3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168" fontId="19" fillId="2" borderId="4" xfId="0" applyNumberFormat="1" applyFont="1" applyFill="1" applyBorder="1" applyAlignment="1">
      <alignment horizontal="right" vertical="center"/>
    </xf>
    <xf numFmtId="168" fontId="19" fillId="2" borderId="2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/>
    </xf>
    <xf numFmtId="168" fontId="11" fillId="2" borderId="0" xfId="0" applyNumberFormat="1" applyFont="1" applyFill="1" applyAlignment="1">
      <alignment horizontal="right" vertical="center"/>
    </xf>
    <xf numFmtId="168" fontId="11" fillId="2" borderId="24" xfId="0" applyNumberFormat="1" applyFont="1" applyFill="1" applyBorder="1" applyAlignment="1">
      <alignment horizontal="right" vertical="center"/>
    </xf>
    <xf numFmtId="0" fontId="11" fillId="0" borderId="7" xfId="0" applyFont="1" applyBorder="1" applyAlignment="1">
      <alignment horizontal="left" vertical="center"/>
    </xf>
    <xf numFmtId="168" fontId="11" fillId="0" borderId="0" xfId="0" applyNumberFormat="1" applyFont="1" applyAlignment="1">
      <alignment horizontal="right" vertical="center"/>
    </xf>
    <xf numFmtId="168" fontId="11" fillId="0" borderId="24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right" vertical="center" wrapText="1"/>
    </xf>
    <xf numFmtId="0" fontId="12" fillId="2" borderId="7" xfId="0" applyFont="1" applyFill="1" applyBorder="1" applyAlignment="1">
      <alignment horizontal="left" vertical="center"/>
    </xf>
    <xf numFmtId="168" fontId="12" fillId="2" borderId="0" xfId="0" applyNumberFormat="1" applyFont="1" applyFill="1" applyAlignment="1">
      <alignment horizontal="right" vertical="center"/>
    </xf>
    <xf numFmtId="168" fontId="12" fillId="2" borderId="2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8" fillId="0" borderId="3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32" xfId="0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168" fontId="11" fillId="0" borderId="9" xfId="0" applyNumberFormat="1" applyFont="1" applyBorder="1" applyAlignment="1">
      <alignment horizontal="right" vertical="center"/>
    </xf>
    <xf numFmtId="168" fontId="11" fillId="0" borderId="36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9" fillId="0" borderId="3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8" fontId="19" fillId="0" borderId="16" xfId="0" applyNumberFormat="1" applyFont="1" applyBorder="1" applyAlignment="1">
      <alignment horizontal="center" vertical="center" wrapText="1"/>
    </xf>
    <xf numFmtId="168" fontId="19" fillId="0" borderId="19" xfId="0" applyNumberFormat="1" applyFont="1" applyBorder="1" applyAlignment="1">
      <alignment horizontal="center" vertical="center" wrapText="1"/>
    </xf>
    <xf numFmtId="168" fontId="19" fillId="0" borderId="3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right" vertical="center" wrapText="1"/>
    </xf>
    <xf numFmtId="0" fontId="10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</cellXfs>
  <cellStyles count="20">
    <cellStyle name="Comma [0] 2" xfId="4" xr:uid="{00000000-0005-0000-0000-000010000000}"/>
    <cellStyle name="Comma [0] 3" xfId="2" xr:uid="{00000000-0005-0000-0000-00000A000000}"/>
    <cellStyle name="Hyperlink" xfId="1" builtinId="8"/>
    <cellStyle name="Normal" xfId="0" builtinId="0"/>
    <cellStyle name="Normal 2" xfId="6" xr:uid="{00000000-0005-0000-0000-00002E000000}"/>
    <cellStyle name="Normal 3" xfId="7" xr:uid="{00000000-0005-0000-0000-000031000000}"/>
    <cellStyle name="Normal 4" xfId="8" xr:uid="{00000000-0005-0000-0000-000035000000}"/>
    <cellStyle name="쉼표 [0] 2" xfId="10" xr:uid="{00000000-0005-0000-0000-000039000000}"/>
    <cellStyle name="표준 2" xfId="11" xr:uid="{00000000-0005-0000-0000-00003A000000}"/>
    <cellStyle name="常规 10" xfId="9" xr:uid="{00000000-0005-0000-0000-000036000000}"/>
    <cellStyle name="常规 11" xfId="12" xr:uid="{00000000-0005-0000-0000-00003B000000}"/>
    <cellStyle name="常规 12" xfId="5" xr:uid="{00000000-0005-0000-0000-000015000000}"/>
    <cellStyle name="常规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3" xr:uid="{00000000-0005-0000-0000-00000F000000}"/>
    <cellStyle name="常规 7" xfId="17" xr:uid="{00000000-0005-0000-0000-000040000000}"/>
    <cellStyle name="常规 8" xfId="18" xr:uid="{00000000-0005-0000-0000-000041000000}"/>
    <cellStyle name="常规 9" xfId="19" xr:uid="{00000000-0005-0000-0000-000042000000}"/>
  </cellStyles>
  <dxfs count="0"/>
  <tableStyles count="0" defaultTableStyle="TableStyleMedium2" defaultPivotStyle="PivotStyleLight16"/>
  <colors>
    <mruColors>
      <color rgb="FF2823F3"/>
      <color rgb="FF0000FF"/>
      <color rgb="FF0000CC"/>
      <color rgb="FFFF0000"/>
      <color rgb="FF00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14</xdr:row>
      <xdr:rowOff>76200</xdr:rowOff>
    </xdr:from>
    <xdr:to>
      <xdr:col>2</xdr:col>
      <xdr:colOff>2259965</xdr:colOff>
      <xdr:row>20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335" y="3590925"/>
          <a:ext cx="1621790" cy="115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14</xdr:row>
      <xdr:rowOff>76200</xdr:rowOff>
    </xdr:from>
    <xdr:to>
      <xdr:col>2</xdr:col>
      <xdr:colOff>2259965</xdr:colOff>
      <xdr:row>20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335" y="3590925"/>
          <a:ext cx="1621790" cy="1158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16</xdr:row>
      <xdr:rowOff>76200</xdr:rowOff>
    </xdr:from>
    <xdr:to>
      <xdr:col>2</xdr:col>
      <xdr:colOff>2259965</xdr:colOff>
      <xdr:row>22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335" y="3952875"/>
          <a:ext cx="1621790" cy="1158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38</xdr:row>
      <xdr:rowOff>76200</xdr:rowOff>
    </xdr:from>
    <xdr:to>
      <xdr:col>2</xdr:col>
      <xdr:colOff>2259965</xdr:colOff>
      <xdr:row>44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335" y="7864475"/>
          <a:ext cx="1621790" cy="115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153034</xdr:colOff>
      <xdr:row>48</xdr:row>
      <xdr:rowOff>47624</xdr:rowOff>
    </xdr:from>
    <xdr:to>
      <xdr:col>8</xdr:col>
      <xdr:colOff>407669</xdr:colOff>
      <xdr:row>54</xdr:row>
      <xdr:rowOff>118744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97565">
          <a:off x="7487284" y="16421099"/>
          <a:ext cx="1931035" cy="14808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154305</xdr:colOff>
      <xdr:row>48</xdr:row>
      <xdr:rowOff>5715</xdr:rowOff>
    </xdr:from>
    <xdr:to>
      <xdr:col>7</xdr:col>
      <xdr:colOff>967740</xdr:colOff>
      <xdr:row>54</xdr:row>
      <xdr:rowOff>135255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51570">
          <a:off x="7326630" y="14140815"/>
          <a:ext cx="1423035" cy="1158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D22" sqref="D22"/>
    </sheetView>
  </sheetViews>
  <sheetFormatPr defaultColWidth="9.140625" defaultRowHeight="13.5"/>
  <cols>
    <col min="1" max="1" width="8.42578125" style="100" customWidth="1"/>
    <col min="2" max="2" width="28.42578125" style="100" customWidth="1"/>
    <col min="3" max="3" width="42" style="102" customWidth="1"/>
    <col min="4" max="4" width="10.5703125" style="103" customWidth="1"/>
    <col min="5" max="5" width="9.28515625" style="104" customWidth="1"/>
    <col min="6" max="6" width="11.28515625" style="104" customWidth="1"/>
    <col min="7" max="7" width="11.85546875" style="105" customWidth="1"/>
    <col min="8" max="8" width="11.42578125" style="106" customWidth="1"/>
    <col min="9" max="9" width="9.140625" style="100"/>
    <col min="10" max="10" width="11.140625" style="100"/>
    <col min="11" max="16377" width="9.140625" style="100"/>
    <col min="16378" max="16378" width="9.42578125" style="100"/>
    <col min="16379" max="16384" width="9.140625" style="100"/>
  </cols>
  <sheetData>
    <row r="1" spans="1:10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10" ht="14.25">
      <c r="A2" s="107"/>
      <c r="B2" s="108"/>
      <c r="C2" s="109"/>
      <c r="D2" s="110"/>
      <c r="E2" s="111" t="s">
        <v>1</v>
      </c>
      <c r="F2" s="112"/>
      <c r="G2" s="113"/>
      <c r="H2" s="114"/>
    </row>
    <row r="3" spans="1:10" ht="14.25">
      <c r="A3" s="107"/>
      <c r="B3" s="108"/>
      <c r="C3" s="109"/>
      <c r="D3" s="110"/>
      <c r="E3" s="111" t="s">
        <v>2</v>
      </c>
      <c r="F3" s="115">
        <v>45915</v>
      </c>
      <c r="G3" s="113"/>
      <c r="H3" s="114"/>
    </row>
    <row r="4" spans="1:10" ht="14.25">
      <c r="A4" s="116" t="s">
        <v>3</v>
      </c>
      <c r="B4" s="117" t="s">
        <v>4</v>
      </c>
      <c r="C4" s="118"/>
      <c r="D4" s="119"/>
      <c r="E4" s="120"/>
      <c r="F4" s="120"/>
      <c r="G4" s="121"/>
      <c r="H4" s="122"/>
    </row>
    <row r="5" spans="1:10" s="101" customFormat="1" ht="34.5" customHeight="1">
      <c r="A5" s="123"/>
      <c r="B5" s="176" t="s">
        <v>5</v>
      </c>
      <c r="C5" s="176"/>
      <c r="D5" s="177"/>
      <c r="E5" s="178"/>
      <c r="F5" s="178"/>
      <c r="G5" s="179"/>
      <c r="H5" s="180"/>
    </row>
    <row r="6" spans="1:10" ht="14.25">
      <c r="A6" s="107"/>
      <c r="B6" s="108" t="s">
        <v>6</v>
      </c>
      <c r="C6" s="109"/>
      <c r="D6" s="110"/>
      <c r="E6" s="124"/>
      <c r="F6" s="124"/>
      <c r="G6" s="125"/>
      <c r="H6" s="126"/>
    </row>
    <row r="7" spans="1:10" ht="14.25">
      <c r="A7" s="127"/>
      <c r="B7" s="128" t="s">
        <v>7</v>
      </c>
      <c r="C7" s="129"/>
      <c r="D7" s="130"/>
      <c r="E7" s="131"/>
      <c r="F7" s="131"/>
      <c r="G7" s="132"/>
      <c r="H7" s="133"/>
    </row>
    <row r="8" spans="1:10" s="101" customFormat="1" ht="20.25" customHeight="1">
      <c r="A8" s="134" t="s">
        <v>8</v>
      </c>
      <c r="B8" s="135" t="s">
        <v>9</v>
      </c>
      <c r="C8" s="136"/>
      <c r="D8" s="137"/>
      <c r="E8" s="138"/>
      <c r="F8" s="138"/>
      <c r="G8" s="139"/>
      <c r="H8" s="140"/>
    </row>
    <row r="9" spans="1:10" s="101" customFormat="1" ht="37.5" customHeight="1">
      <c r="A9" s="141"/>
      <c r="B9" s="181" t="s">
        <v>10</v>
      </c>
      <c r="C9" s="181"/>
      <c r="D9" s="182"/>
      <c r="E9" s="183"/>
      <c r="F9" s="183"/>
      <c r="G9" s="184"/>
      <c r="H9" s="185"/>
    </row>
    <row r="10" spans="1:10" s="101" customFormat="1" ht="27.75" customHeight="1">
      <c r="A10" s="142" t="s">
        <v>11</v>
      </c>
      <c r="B10" s="143"/>
      <c r="C10" s="144"/>
      <c r="D10" s="145"/>
      <c r="E10" s="146"/>
      <c r="F10" s="146"/>
      <c r="G10" s="147"/>
      <c r="H10" s="114"/>
    </row>
    <row r="11" spans="1:10" s="101" customFormat="1" ht="14.25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10" s="101" customFormat="1" ht="14.25">
      <c r="A12" s="194"/>
      <c r="B12" s="148" t="s">
        <v>19</v>
      </c>
      <c r="C12" s="149" t="s">
        <v>20</v>
      </c>
      <c r="D12" s="196"/>
      <c r="E12" s="198"/>
      <c r="F12" s="198"/>
      <c r="G12" s="200"/>
      <c r="H12" s="202"/>
    </row>
    <row r="13" spans="1:10" s="101" customFormat="1">
      <c r="A13" s="150">
        <v>1</v>
      </c>
      <c r="B13" s="172" t="s">
        <v>21</v>
      </c>
      <c r="C13" s="151" t="s">
        <v>22</v>
      </c>
      <c r="D13" s="151">
        <v>1</v>
      </c>
      <c r="E13" s="153" t="s">
        <v>23</v>
      </c>
      <c r="F13" s="151" t="s">
        <v>24</v>
      </c>
      <c r="G13" s="154">
        <v>6288.3873000000003</v>
      </c>
      <c r="H13" s="155">
        <f>G13*D13</f>
        <v>6288.3873000000003</v>
      </c>
    </row>
    <row r="14" spans="1:10" s="101" customFormat="1" ht="20.25" customHeight="1">
      <c r="A14" s="157"/>
      <c r="B14" s="149"/>
      <c r="C14" s="149"/>
      <c r="D14" s="158">
        <f>SUM(D13:D13)</f>
        <v>1</v>
      </c>
      <c r="E14" s="159"/>
      <c r="F14" s="160"/>
      <c r="G14" s="161"/>
      <c r="H14" s="158">
        <f>SUM(H13:H13)</f>
        <v>6288.3873000000003</v>
      </c>
    </row>
    <row r="15" spans="1:10" ht="14.25">
      <c r="A15" s="107"/>
      <c r="B15" s="108" t="s">
        <v>25</v>
      </c>
      <c r="C15" s="109"/>
      <c r="D15" s="110"/>
      <c r="E15" s="124"/>
      <c r="F15" s="124"/>
      <c r="G15" s="125"/>
      <c r="H15" s="126"/>
      <c r="J15" s="101"/>
    </row>
    <row r="16" spans="1:10" ht="14.25">
      <c r="A16" s="107"/>
      <c r="B16" s="108" t="s">
        <v>26</v>
      </c>
      <c r="C16" s="109"/>
      <c r="D16" s="110"/>
      <c r="E16" s="124"/>
      <c r="F16" s="124"/>
      <c r="G16" s="125"/>
      <c r="H16" s="126"/>
      <c r="J16" s="101"/>
    </row>
    <row r="17" spans="1:10" ht="14.25">
      <c r="A17" s="107"/>
      <c r="B17" s="162" t="s">
        <v>27</v>
      </c>
      <c r="C17" s="109"/>
      <c r="D17" s="110"/>
      <c r="E17" s="124"/>
      <c r="F17" s="124"/>
      <c r="G17" s="125"/>
      <c r="H17" s="126"/>
      <c r="J17" s="101"/>
    </row>
    <row r="18" spans="1:10" ht="14.25">
      <c r="A18" s="107"/>
      <c r="B18" s="108" t="s">
        <v>28</v>
      </c>
      <c r="C18" s="109"/>
      <c r="D18" s="110"/>
      <c r="E18" s="124"/>
      <c r="F18" s="124"/>
      <c r="G18" s="125"/>
      <c r="H18" s="126"/>
      <c r="J18" s="101"/>
    </row>
    <row r="19" spans="1:10" ht="14.25">
      <c r="A19" s="107"/>
      <c r="B19" s="108" t="s">
        <v>29</v>
      </c>
      <c r="C19" s="109"/>
      <c r="D19" s="110"/>
      <c r="E19" s="124"/>
      <c r="F19" s="124"/>
      <c r="G19" s="125"/>
      <c r="H19" s="126"/>
      <c r="J19" s="101"/>
    </row>
    <row r="20" spans="1:10" ht="14.25">
      <c r="A20" s="107"/>
      <c r="B20" s="108" t="s">
        <v>30</v>
      </c>
      <c r="C20" s="109"/>
      <c r="D20" s="110"/>
      <c r="E20" s="124"/>
      <c r="F20" s="124"/>
      <c r="G20" s="125"/>
      <c r="H20" s="126"/>
      <c r="J20" s="101"/>
    </row>
    <row r="21" spans="1:10" ht="14.25">
      <c r="A21" s="107"/>
      <c r="B21" s="108" t="s">
        <v>31</v>
      </c>
      <c r="C21" s="109"/>
      <c r="D21" s="110"/>
      <c r="E21" s="124"/>
      <c r="F21" s="124"/>
      <c r="G21" s="125"/>
      <c r="H21" s="126"/>
      <c r="J21" s="101"/>
    </row>
    <row r="22" spans="1:10" ht="18.75">
      <c r="A22" s="188" t="s">
        <v>32</v>
      </c>
      <c r="B22" s="189"/>
      <c r="C22" s="190"/>
      <c r="D22" s="163"/>
      <c r="E22" s="189" t="s">
        <v>33</v>
      </c>
      <c r="F22" s="189"/>
      <c r="G22" s="191"/>
      <c r="H22" s="192"/>
      <c r="J22" s="101"/>
    </row>
    <row r="23" spans="1:10" ht="14.25">
      <c r="A23" s="164"/>
      <c r="B23" s="165"/>
      <c r="C23" s="166"/>
      <c r="D23" s="167"/>
      <c r="E23" s="168"/>
      <c r="F23" s="168"/>
      <c r="G23" s="169"/>
      <c r="H23" s="170"/>
    </row>
  </sheetData>
  <mergeCells count="12">
    <mergeCell ref="A1:H1"/>
    <mergeCell ref="B5:H5"/>
    <mergeCell ref="B9:H9"/>
    <mergeCell ref="B11:C11"/>
    <mergeCell ref="A22:C22"/>
    <mergeCell ref="E22:H22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D23" sqref="D23"/>
    </sheetView>
  </sheetViews>
  <sheetFormatPr defaultColWidth="9.140625" defaultRowHeight="13.5"/>
  <cols>
    <col min="1" max="1" width="8.42578125" style="100" customWidth="1"/>
    <col min="2" max="2" width="28.42578125" style="100" customWidth="1"/>
    <col min="3" max="3" width="42" style="102" customWidth="1"/>
    <col min="4" max="4" width="10.5703125" style="103" customWidth="1"/>
    <col min="5" max="5" width="9.28515625" style="104" customWidth="1"/>
    <col min="6" max="6" width="11.28515625" style="104" customWidth="1"/>
    <col min="7" max="7" width="11.85546875" style="105" customWidth="1"/>
    <col min="8" max="8" width="11.42578125" style="106" customWidth="1"/>
    <col min="9" max="9" width="9.140625" style="100"/>
    <col min="10" max="10" width="11.140625" style="100"/>
    <col min="11" max="16377" width="9.140625" style="100"/>
    <col min="16378" max="16378" width="9.42578125" style="100"/>
    <col min="16379" max="16384" width="9.140625" style="100"/>
  </cols>
  <sheetData>
    <row r="1" spans="1:10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10" ht="14.25">
      <c r="A2" s="107"/>
      <c r="B2" s="108"/>
      <c r="C2" s="109"/>
      <c r="D2" s="110"/>
      <c r="E2" s="111" t="s">
        <v>34</v>
      </c>
      <c r="F2" s="112"/>
      <c r="G2" s="113"/>
      <c r="H2" s="114"/>
    </row>
    <row r="3" spans="1:10" ht="14.25">
      <c r="A3" s="107"/>
      <c r="B3" s="108"/>
      <c r="C3" s="109"/>
      <c r="D3" s="110"/>
      <c r="E3" s="111" t="s">
        <v>2</v>
      </c>
      <c r="F3" s="115">
        <v>46000</v>
      </c>
      <c r="G3" s="113"/>
      <c r="H3" s="114"/>
    </row>
    <row r="4" spans="1:10" ht="14.25">
      <c r="A4" s="116" t="s">
        <v>3</v>
      </c>
      <c r="B4" s="117" t="s">
        <v>4</v>
      </c>
      <c r="C4" s="118"/>
      <c r="D4" s="119"/>
      <c r="E4" s="120"/>
      <c r="F4" s="120"/>
      <c r="G4" s="121"/>
      <c r="H4" s="122"/>
    </row>
    <row r="5" spans="1:10" s="101" customFormat="1" ht="34.5" customHeight="1">
      <c r="A5" s="123"/>
      <c r="B5" s="176" t="s">
        <v>5</v>
      </c>
      <c r="C5" s="176"/>
      <c r="D5" s="177"/>
      <c r="E5" s="178"/>
      <c r="F5" s="178"/>
      <c r="G5" s="179"/>
      <c r="H5" s="180"/>
    </row>
    <row r="6" spans="1:10" ht="14.25">
      <c r="A6" s="107"/>
      <c r="B6" s="108" t="s">
        <v>6</v>
      </c>
      <c r="C6" s="109"/>
      <c r="D6" s="110"/>
      <c r="E6" s="124"/>
      <c r="F6" s="124"/>
      <c r="G6" s="125"/>
      <c r="H6" s="126"/>
    </row>
    <row r="7" spans="1:10" ht="14.25">
      <c r="A7" s="127"/>
      <c r="B7" s="128" t="s">
        <v>7</v>
      </c>
      <c r="C7" s="129"/>
      <c r="D7" s="130"/>
      <c r="E7" s="131"/>
      <c r="F7" s="131"/>
      <c r="G7" s="132"/>
      <c r="H7" s="133"/>
    </row>
    <row r="8" spans="1:10" s="101" customFormat="1" ht="20.25" customHeight="1">
      <c r="A8" s="134" t="s">
        <v>8</v>
      </c>
      <c r="B8" s="135" t="s">
        <v>9</v>
      </c>
      <c r="C8" s="136"/>
      <c r="D8" s="137"/>
      <c r="E8" s="138"/>
      <c r="F8" s="138"/>
      <c r="G8" s="139"/>
      <c r="H8" s="140"/>
    </row>
    <row r="9" spans="1:10" s="101" customFormat="1" ht="37.5" customHeight="1">
      <c r="A9" s="141"/>
      <c r="B9" s="181" t="s">
        <v>10</v>
      </c>
      <c r="C9" s="181"/>
      <c r="D9" s="182"/>
      <c r="E9" s="183"/>
      <c r="F9" s="183"/>
      <c r="G9" s="184"/>
      <c r="H9" s="185"/>
    </row>
    <row r="10" spans="1:10" s="101" customFormat="1" ht="27.75" customHeight="1">
      <c r="A10" s="142" t="s">
        <v>11</v>
      </c>
      <c r="B10" s="143"/>
      <c r="C10" s="144"/>
      <c r="D10" s="145"/>
      <c r="E10" s="146"/>
      <c r="F10" s="146"/>
      <c r="G10" s="147"/>
      <c r="H10" s="114"/>
    </row>
    <row r="11" spans="1:10" s="101" customFormat="1" ht="14.25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10" s="101" customFormat="1" ht="14.25">
      <c r="A12" s="194"/>
      <c r="B12" s="148" t="s">
        <v>19</v>
      </c>
      <c r="C12" s="149" t="s">
        <v>20</v>
      </c>
      <c r="D12" s="196"/>
      <c r="E12" s="198"/>
      <c r="F12" s="198"/>
      <c r="G12" s="200"/>
      <c r="H12" s="202"/>
    </row>
    <row r="13" spans="1:10" s="101" customFormat="1">
      <c r="A13" s="150">
        <v>1</v>
      </c>
      <c r="B13" s="172" t="s">
        <v>35</v>
      </c>
      <c r="C13" s="151" t="s">
        <v>36</v>
      </c>
      <c r="D13" s="151">
        <v>1</v>
      </c>
      <c r="E13" s="153" t="s">
        <v>23</v>
      </c>
      <c r="F13" s="151" t="s">
        <v>24</v>
      </c>
      <c r="G13" s="154">
        <v>54.028599999999997</v>
      </c>
      <c r="H13" s="155">
        <f>G13*D13</f>
        <v>54.028599999999997</v>
      </c>
    </row>
    <row r="14" spans="1:10" s="101" customFormat="1" ht="20.25" customHeight="1">
      <c r="A14" s="157"/>
      <c r="B14" s="149"/>
      <c r="C14" s="149"/>
      <c r="D14" s="158">
        <f>SUM(D13:D13)</f>
        <v>1</v>
      </c>
      <c r="E14" s="159"/>
      <c r="F14" s="160"/>
      <c r="G14" s="161"/>
      <c r="H14" s="158">
        <f>SUM(H13:H13)</f>
        <v>54.028599999999997</v>
      </c>
    </row>
    <row r="15" spans="1:10" ht="14.25">
      <c r="A15" s="107"/>
      <c r="B15" s="108" t="s">
        <v>25</v>
      </c>
      <c r="C15" s="109"/>
      <c r="D15" s="110"/>
      <c r="E15" s="124"/>
      <c r="F15" s="124"/>
      <c r="G15" s="125"/>
      <c r="H15" s="126"/>
      <c r="J15" s="101"/>
    </row>
    <row r="16" spans="1:10" ht="14.25">
      <c r="A16" s="107"/>
      <c r="B16" s="108" t="s">
        <v>26</v>
      </c>
      <c r="C16" s="109"/>
      <c r="D16" s="110"/>
      <c r="E16" s="124"/>
      <c r="F16" s="124"/>
      <c r="G16" s="125"/>
      <c r="H16" s="126"/>
      <c r="J16" s="101"/>
    </row>
    <row r="17" spans="1:10" ht="14.25">
      <c r="A17" s="107"/>
      <c r="B17" s="162" t="s">
        <v>27</v>
      </c>
      <c r="C17" s="109"/>
      <c r="D17" s="110"/>
      <c r="E17" s="124"/>
      <c r="F17" s="124"/>
      <c r="G17" s="125"/>
      <c r="H17" s="126"/>
      <c r="J17" s="101"/>
    </row>
    <row r="18" spans="1:10" ht="14.25">
      <c r="A18" s="107"/>
      <c r="B18" s="108" t="s">
        <v>28</v>
      </c>
      <c r="C18" s="109"/>
      <c r="D18" s="110"/>
      <c r="E18" s="124"/>
      <c r="F18" s="124"/>
      <c r="G18" s="125"/>
      <c r="H18" s="126"/>
      <c r="J18" s="101"/>
    </row>
    <row r="19" spans="1:10" ht="14.25">
      <c r="A19" s="107"/>
      <c r="B19" s="108" t="s">
        <v>29</v>
      </c>
      <c r="C19" s="109"/>
      <c r="D19" s="110"/>
      <c r="E19" s="124"/>
      <c r="F19" s="124"/>
      <c r="G19" s="125"/>
      <c r="H19" s="126"/>
      <c r="J19" s="101"/>
    </row>
    <row r="20" spans="1:10" ht="14.25">
      <c r="A20" s="107"/>
      <c r="B20" s="108" t="s">
        <v>30</v>
      </c>
      <c r="C20" s="109"/>
      <c r="D20" s="110"/>
      <c r="E20" s="124"/>
      <c r="F20" s="124"/>
      <c r="G20" s="125"/>
      <c r="H20" s="126"/>
      <c r="J20" s="101"/>
    </row>
    <row r="21" spans="1:10" ht="14.25">
      <c r="A21" s="107"/>
      <c r="B21" s="108" t="s">
        <v>31</v>
      </c>
      <c r="C21" s="109"/>
      <c r="D21" s="110"/>
      <c r="E21" s="124"/>
      <c r="F21" s="124"/>
      <c r="G21" s="125"/>
      <c r="H21" s="126"/>
      <c r="J21" s="101"/>
    </row>
    <row r="22" spans="1:10" ht="18.75">
      <c r="A22" s="188" t="s">
        <v>32</v>
      </c>
      <c r="B22" s="189"/>
      <c r="C22" s="190"/>
      <c r="D22" s="163"/>
      <c r="E22" s="189" t="s">
        <v>33</v>
      </c>
      <c r="F22" s="189"/>
      <c r="G22" s="191"/>
      <c r="H22" s="192"/>
      <c r="J22" s="101"/>
    </row>
    <row r="23" spans="1:10" ht="14.25">
      <c r="A23" s="164"/>
      <c r="B23" s="165"/>
      <c r="C23" s="166"/>
      <c r="D23" s="167"/>
      <c r="E23" s="168"/>
      <c r="F23" s="168"/>
      <c r="G23" s="169"/>
      <c r="H23" s="170"/>
    </row>
  </sheetData>
  <mergeCells count="12">
    <mergeCell ref="A1:H1"/>
    <mergeCell ref="B5:H5"/>
    <mergeCell ref="B9:H9"/>
    <mergeCell ref="B11:C11"/>
    <mergeCell ref="A22:C22"/>
    <mergeCell ref="E22:H22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G20" sqref="G20"/>
    </sheetView>
  </sheetViews>
  <sheetFormatPr defaultColWidth="9.140625" defaultRowHeight="13.5"/>
  <cols>
    <col min="1" max="1" width="8.42578125" style="100" customWidth="1"/>
    <col min="2" max="2" width="28.42578125" style="100" customWidth="1"/>
    <col min="3" max="3" width="42" style="102" customWidth="1"/>
    <col min="4" max="4" width="10.5703125" style="103" customWidth="1"/>
    <col min="5" max="5" width="9.28515625" style="104" customWidth="1"/>
    <col min="6" max="6" width="11.28515625" style="104" customWidth="1"/>
    <col min="7" max="7" width="11.85546875" style="105" customWidth="1"/>
    <col min="8" max="8" width="11.42578125" style="106" customWidth="1"/>
    <col min="9" max="9" width="9.140625" style="100"/>
    <col min="10" max="10" width="11.140625" style="100"/>
    <col min="11" max="16377" width="9.140625" style="100"/>
    <col min="16378" max="16378" width="9.42578125" style="100"/>
    <col min="16379" max="16384" width="9.140625" style="100"/>
  </cols>
  <sheetData>
    <row r="1" spans="1:8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8" ht="14.25">
      <c r="A2" s="107"/>
      <c r="B2" s="108"/>
      <c r="C2" s="109"/>
      <c r="D2" s="110"/>
      <c r="E2" s="111" t="s">
        <v>37</v>
      </c>
      <c r="F2" s="112"/>
      <c r="G2" s="113"/>
      <c r="H2" s="114"/>
    </row>
    <row r="3" spans="1:8" ht="14.25">
      <c r="A3" s="107"/>
      <c r="B3" s="108"/>
      <c r="C3" s="109"/>
      <c r="D3" s="110"/>
      <c r="E3" s="111" t="s">
        <v>2</v>
      </c>
      <c r="F3" s="115">
        <v>45974</v>
      </c>
      <c r="G3" s="113"/>
      <c r="H3" s="114"/>
    </row>
    <row r="4" spans="1:8" ht="14.25">
      <c r="A4" s="116" t="s">
        <v>3</v>
      </c>
      <c r="B4" s="117" t="s">
        <v>4</v>
      </c>
      <c r="C4" s="118"/>
      <c r="D4" s="119"/>
      <c r="E4" s="120"/>
      <c r="F4" s="120"/>
      <c r="G4" s="121"/>
      <c r="H4" s="122"/>
    </row>
    <row r="5" spans="1:8" s="101" customFormat="1" ht="34.5" customHeight="1">
      <c r="A5" s="123"/>
      <c r="B5" s="176" t="s">
        <v>5</v>
      </c>
      <c r="C5" s="176"/>
      <c r="D5" s="177"/>
      <c r="E5" s="178"/>
      <c r="F5" s="178"/>
      <c r="G5" s="179"/>
      <c r="H5" s="180"/>
    </row>
    <row r="6" spans="1:8" ht="14.25">
      <c r="A6" s="107"/>
      <c r="B6" s="108" t="s">
        <v>6</v>
      </c>
      <c r="C6" s="109"/>
      <c r="D6" s="110"/>
      <c r="E6" s="124"/>
      <c r="F6" s="124"/>
      <c r="G6" s="125"/>
      <c r="H6" s="126"/>
    </row>
    <row r="7" spans="1:8" ht="14.25">
      <c r="A7" s="127"/>
      <c r="B7" s="128" t="s">
        <v>7</v>
      </c>
      <c r="C7" s="129"/>
      <c r="D7" s="130"/>
      <c r="E7" s="131"/>
      <c r="F7" s="131"/>
      <c r="G7" s="132"/>
      <c r="H7" s="133"/>
    </row>
    <row r="8" spans="1:8" s="101" customFormat="1" ht="20.25" customHeight="1">
      <c r="A8" s="134" t="s">
        <v>8</v>
      </c>
      <c r="B8" s="135" t="s">
        <v>9</v>
      </c>
      <c r="C8" s="136"/>
      <c r="D8" s="137"/>
      <c r="E8" s="138"/>
      <c r="F8" s="138"/>
      <c r="G8" s="139"/>
      <c r="H8" s="140"/>
    </row>
    <row r="9" spans="1:8" s="101" customFormat="1" ht="37.5" customHeight="1">
      <c r="A9" s="141"/>
      <c r="B9" s="181" t="s">
        <v>10</v>
      </c>
      <c r="C9" s="181"/>
      <c r="D9" s="182"/>
      <c r="E9" s="183"/>
      <c r="F9" s="183"/>
      <c r="G9" s="184"/>
      <c r="H9" s="185"/>
    </row>
    <row r="10" spans="1:8" s="101" customFormat="1" ht="27.75" customHeight="1">
      <c r="A10" s="142" t="s">
        <v>11</v>
      </c>
      <c r="B10" s="143"/>
      <c r="C10" s="144"/>
      <c r="D10" s="145"/>
      <c r="E10" s="146"/>
      <c r="F10" s="146"/>
      <c r="G10" s="147"/>
      <c r="H10" s="114"/>
    </row>
    <row r="11" spans="1:8" s="101" customFormat="1" ht="14.25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8" s="101" customFormat="1" ht="14.25">
      <c r="A12" s="194"/>
      <c r="B12" s="148" t="s">
        <v>19</v>
      </c>
      <c r="C12" s="149" t="s">
        <v>20</v>
      </c>
      <c r="D12" s="196"/>
      <c r="E12" s="198"/>
      <c r="F12" s="198"/>
      <c r="G12" s="200"/>
      <c r="H12" s="202"/>
    </row>
    <row r="13" spans="1:8" s="101" customFormat="1" ht="14.1" customHeight="1">
      <c r="A13" s="150">
        <v>1</v>
      </c>
      <c r="B13" s="151" t="s">
        <v>38</v>
      </c>
      <c r="C13" s="152" t="s">
        <v>39</v>
      </c>
      <c r="D13" s="151">
        <v>1</v>
      </c>
      <c r="E13" s="153" t="s">
        <v>40</v>
      </c>
      <c r="F13" s="151" t="s">
        <v>24</v>
      </c>
      <c r="G13" s="154">
        <v>87.796499999999995</v>
      </c>
      <c r="H13" s="155">
        <f>G13*D13</f>
        <v>87.796499999999995</v>
      </c>
    </row>
    <row r="14" spans="1:8" s="101" customFormat="1" ht="14.1" customHeight="1">
      <c r="A14" s="171">
        <v>2</v>
      </c>
      <c r="B14" s="151" t="s">
        <v>41</v>
      </c>
      <c r="C14" s="156" t="s">
        <v>39</v>
      </c>
      <c r="D14" s="151">
        <v>6</v>
      </c>
      <c r="E14" s="153" t="s">
        <v>40</v>
      </c>
      <c r="F14" s="151" t="s">
        <v>24</v>
      </c>
      <c r="G14" s="154">
        <v>87.796499999999995</v>
      </c>
      <c r="H14" s="155">
        <f>G14*D14</f>
        <v>526.779</v>
      </c>
    </row>
    <row r="15" spans="1:8" s="101" customFormat="1" ht="14.1" customHeight="1">
      <c r="A15" s="171">
        <v>3</v>
      </c>
      <c r="B15" s="151" t="s">
        <v>42</v>
      </c>
      <c r="C15" s="156" t="s">
        <v>43</v>
      </c>
      <c r="D15" s="151">
        <v>15</v>
      </c>
      <c r="E15" s="153" t="s">
        <v>44</v>
      </c>
      <c r="F15" s="151" t="s">
        <v>24</v>
      </c>
      <c r="G15" s="154">
        <v>8.1043000000000003</v>
      </c>
      <c r="H15" s="155">
        <f>G15*D15</f>
        <v>121.56450000000001</v>
      </c>
    </row>
    <row r="16" spans="1:8" s="101" customFormat="1" ht="20.25" customHeight="1">
      <c r="A16" s="157"/>
      <c r="B16" s="149"/>
      <c r="C16" s="149"/>
      <c r="D16" s="158">
        <f>SUM(D13:D15)</f>
        <v>22</v>
      </c>
      <c r="E16" s="159"/>
      <c r="F16" s="160"/>
      <c r="G16" s="161"/>
      <c r="H16" s="158">
        <f>SUM(H13:H15)</f>
        <v>736.1400000000001</v>
      </c>
    </row>
    <row r="17" spans="1:10" ht="14.25">
      <c r="A17" s="107"/>
      <c r="B17" s="108" t="s">
        <v>25</v>
      </c>
      <c r="C17" s="109"/>
      <c r="D17" s="110"/>
      <c r="E17" s="124"/>
      <c r="F17" s="124"/>
      <c r="G17" s="125"/>
      <c r="H17" s="126"/>
      <c r="J17" s="101"/>
    </row>
    <row r="18" spans="1:10" ht="14.25">
      <c r="A18" s="107"/>
      <c r="B18" s="108" t="s">
        <v>26</v>
      </c>
      <c r="C18" s="109"/>
      <c r="D18" s="110"/>
      <c r="E18" s="124"/>
      <c r="F18" s="124"/>
      <c r="G18" s="125"/>
      <c r="H18" s="126"/>
      <c r="J18" s="101"/>
    </row>
    <row r="19" spans="1:10" ht="14.25">
      <c r="A19" s="107"/>
      <c r="B19" s="162" t="s">
        <v>27</v>
      </c>
      <c r="C19" s="109"/>
      <c r="D19" s="110"/>
      <c r="E19" s="124"/>
      <c r="F19" s="124"/>
      <c r="G19" s="125"/>
      <c r="H19" s="126"/>
      <c r="J19" s="101"/>
    </row>
    <row r="20" spans="1:10" ht="14.25">
      <c r="A20" s="107"/>
      <c r="B20" s="108" t="s">
        <v>28</v>
      </c>
      <c r="C20" s="109"/>
      <c r="D20" s="110"/>
      <c r="E20" s="124"/>
      <c r="F20" s="124"/>
      <c r="G20" s="125"/>
      <c r="H20" s="126"/>
      <c r="J20" s="101"/>
    </row>
    <row r="21" spans="1:10" ht="14.25">
      <c r="A21" s="107"/>
      <c r="B21" s="108" t="s">
        <v>29</v>
      </c>
      <c r="C21" s="109"/>
      <c r="D21" s="110"/>
      <c r="E21" s="124"/>
      <c r="F21" s="124"/>
      <c r="G21" s="125"/>
      <c r="H21" s="126"/>
      <c r="J21" s="101"/>
    </row>
    <row r="22" spans="1:10" ht="14.25">
      <c r="A22" s="107"/>
      <c r="B22" s="108" t="s">
        <v>30</v>
      </c>
      <c r="C22" s="109"/>
      <c r="D22" s="110"/>
      <c r="E22" s="124"/>
      <c r="F22" s="124"/>
      <c r="G22" s="125"/>
      <c r="H22" s="126"/>
      <c r="J22" s="101"/>
    </row>
    <row r="23" spans="1:10" ht="14.25">
      <c r="A23" s="107"/>
      <c r="B23" s="108" t="s">
        <v>31</v>
      </c>
      <c r="C23" s="109"/>
      <c r="D23" s="110"/>
      <c r="E23" s="124"/>
      <c r="F23" s="124"/>
      <c r="G23" s="125"/>
      <c r="H23" s="126"/>
      <c r="J23" s="101"/>
    </row>
    <row r="24" spans="1:10" ht="18.75">
      <c r="A24" s="188" t="s">
        <v>32</v>
      </c>
      <c r="B24" s="189"/>
      <c r="C24" s="190"/>
      <c r="D24" s="163"/>
      <c r="E24" s="189" t="s">
        <v>33</v>
      </c>
      <c r="F24" s="189"/>
      <c r="G24" s="191"/>
      <c r="H24" s="192"/>
      <c r="J24" s="101"/>
    </row>
    <row r="25" spans="1:10" ht="14.25">
      <c r="A25" s="164"/>
      <c r="B25" s="165"/>
      <c r="C25" s="166"/>
      <c r="D25" s="167"/>
      <c r="E25" s="168"/>
      <c r="F25" s="168"/>
      <c r="G25" s="169"/>
      <c r="H25" s="170"/>
    </row>
  </sheetData>
  <mergeCells count="12">
    <mergeCell ref="A1:H1"/>
    <mergeCell ref="B5:H5"/>
    <mergeCell ref="B9:H9"/>
    <mergeCell ref="B11:C11"/>
    <mergeCell ref="A24:C24"/>
    <mergeCell ref="E24:H24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topLeftCell="A9" workbookViewId="0">
      <selection activeCell="C15" sqref="C15"/>
    </sheetView>
  </sheetViews>
  <sheetFormatPr defaultColWidth="9.140625" defaultRowHeight="13.5"/>
  <cols>
    <col min="1" max="1" width="8.42578125" style="100" customWidth="1"/>
    <col min="2" max="2" width="28.42578125" style="100" customWidth="1"/>
    <col min="3" max="3" width="42" style="102" customWidth="1"/>
    <col min="4" max="4" width="10.5703125" style="103" customWidth="1"/>
    <col min="5" max="5" width="9.28515625" style="104" customWidth="1"/>
    <col min="6" max="6" width="11.28515625" style="104" customWidth="1"/>
    <col min="7" max="7" width="11.85546875" style="105" customWidth="1"/>
    <col min="8" max="8" width="11.42578125" style="106" customWidth="1"/>
    <col min="9" max="9" width="9.140625" style="100"/>
    <col min="10" max="10" width="11.140625" style="100"/>
    <col min="11" max="16377" width="9.140625" style="100"/>
    <col min="16378" max="16378" width="9.42578125" style="100"/>
    <col min="16379" max="16384" width="9.140625" style="100"/>
  </cols>
  <sheetData>
    <row r="1" spans="1:8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8" ht="14.25">
      <c r="A2" s="107"/>
      <c r="B2" s="108"/>
      <c r="C2" s="109"/>
      <c r="D2" s="110"/>
      <c r="E2" s="111" t="s">
        <v>45</v>
      </c>
      <c r="F2" s="112"/>
      <c r="G2" s="113"/>
      <c r="H2" s="114"/>
    </row>
    <row r="3" spans="1:8" ht="14.25">
      <c r="A3" s="107"/>
      <c r="B3" s="108"/>
      <c r="C3" s="109"/>
      <c r="D3" s="110"/>
      <c r="E3" s="111" t="s">
        <v>2</v>
      </c>
      <c r="F3" s="115">
        <v>46000</v>
      </c>
      <c r="G3" s="113"/>
      <c r="H3" s="114"/>
    </row>
    <row r="4" spans="1:8" ht="14.25">
      <c r="A4" s="116" t="s">
        <v>3</v>
      </c>
      <c r="B4" s="117" t="s">
        <v>4</v>
      </c>
      <c r="C4" s="118"/>
      <c r="D4" s="119"/>
      <c r="E4" s="120"/>
      <c r="F4" s="120"/>
      <c r="G4" s="121"/>
      <c r="H4" s="122"/>
    </row>
    <row r="5" spans="1:8" s="101" customFormat="1" ht="34.5" customHeight="1">
      <c r="A5" s="123"/>
      <c r="B5" s="176" t="s">
        <v>5</v>
      </c>
      <c r="C5" s="176"/>
      <c r="D5" s="177"/>
      <c r="E5" s="178"/>
      <c r="F5" s="178"/>
      <c r="G5" s="179"/>
      <c r="H5" s="180"/>
    </row>
    <row r="6" spans="1:8" ht="14.25">
      <c r="A6" s="107"/>
      <c r="B6" s="108" t="s">
        <v>6</v>
      </c>
      <c r="C6" s="109"/>
      <c r="D6" s="110"/>
      <c r="E6" s="124"/>
      <c r="F6" s="124"/>
      <c r="G6" s="125"/>
      <c r="H6" s="126"/>
    </row>
    <row r="7" spans="1:8" ht="14.25">
      <c r="A7" s="127"/>
      <c r="B7" s="128" t="s">
        <v>7</v>
      </c>
      <c r="C7" s="129"/>
      <c r="D7" s="130"/>
      <c r="E7" s="131"/>
      <c r="F7" s="131"/>
      <c r="G7" s="132"/>
      <c r="H7" s="133"/>
    </row>
    <row r="8" spans="1:8" s="101" customFormat="1" ht="20.25" customHeight="1">
      <c r="A8" s="134" t="s">
        <v>8</v>
      </c>
      <c r="B8" s="135" t="s">
        <v>9</v>
      </c>
      <c r="C8" s="136"/>
      <c r="D8" s="137"/>
      <c r="E8" s="138"/>
      <c r="F8" s="138"/>
      <c r="G8" s="139"/>
      <c r="H8" s="140"/>
    </row>
    <row r="9" spans="1:8" s="101" customFormat="1" ht="37.5" customHeight="1">
      <c r="A9" s="141"/>
      <c r="B9" s="181" t="s">
        <v>10</v>
      </c>
      <c r="C9" s="181"/>
      <c r="D9" s="182"/>
      <c r="E9" s="183"/>
      <c r="F9" s="183"/>
      <c r="G9" s="184"/>
      <c r="H9" s="185"/>
    </row>
    <row r="10" spans="1:8" s="101" customFormat="1" ht="27.75" customHeight="1">
      <c r="A10" s="142" t="s">
        <v>11</v>
      </c>
      <c r="B10" s="143"/>
      <c r="C10" s="144"/>
      <c r="D10" s="145"/>
      <c r="E10" s="146"/>
      <c r="F10" s="146"/>
      <c r="G10" s="147"/>
      <c r="H10" s="114"/>
    </row>
    <row r="11" spans="1:8" s="101" customFormat="1" ht="14.25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8" s="101" customFormat="1" ht="14.25">
      <c r="A12" s="194"/>
      <c r="B12" s="148" t="s">
        <v>19</v>
      </c>
      <c r="C12" s="149" t="s">
        <v>20</v>
      </c>
      <c r="D12" s="196"/>
      <c r="E12" s="198"/>
      <c r="F12" s="198"/>
      <c r="G12" s="200"/>
      <c r="H12" s="202"/>
    </row>
    <row r="13" spans="1:8" s="101" customFormat="1" ht="14.1" customHeight="1">
      <c r="A13" s="150">
        <v>1</v>
      </c>
      <c r="B13" s="151" t="s">
        <v>46</v>
      </c>
      <c r="C13" s="152" t="s">
        <v>47</v>
      </c>
      <c r="D13" s="151">
        <v>4</v>
      </c>
      <c r="E13" s="153" t="s">
        <v>40</v>
      </c>
      <c r="F13" s="151" t="s">
        <v>24</v>
      </c>
      <c r="G13" s="154">
        <v>10.8057</v>
      </c>
      <c r="H13" s="155">
        <f>G13*D13</f>
        <v>43.222799999999999</v>
      </c>
    </row>
    <row r="14" spans="1:8" s="101" customFormat="1" ht="14.1" customHeight="1">
      <c r="A14" s="150">
        <v>2</v>
      </c>
      <c r="B14" s="151" t="s">
        <v>46</v>
      </c>
      <c r="C14" s="156" t="s">
        <v>48</v>
      </c>
      <c r="D14" s="151">
        <v>4</v>
      </c>
      <c r="E14" s="153" t="s">
        <v>40</v>
      </c>
      <c r="F14" s="151" t="s">
        <v>24</v>
      </c>
      <c r="G14" s="154">
        <v>8.1043000000000003</v>
      </c>
      <c r="H14" s="155">
        <f t="shared" ref="H14:H37" si="0">G14*D14</f>
        <v>32.417200000000001</v>
      </c>
    </row>
    <row r="15" spans="1:8" s="101" customFormat="1" ht="14.1" customHeight="1">
      <c r="A15" s="150">
        <v>3</v>
      </c>
      <c r="B15" s="151" t="s">
        <v>46</v>
      </c>
      <c r="C15" s="156" t="s">
        <v>49</v>
      </c>
      <c r="D15" s="151">
        <v>1</v>
      </c>
      <c r="E15" s="153" t="s">
        <v>40</v>
      </c>
      <c r="F15" s="151" t="s">
        <v>24</v>
      </c>
      <c r="G15" s="154">
        <v>8.1043000000000003</v>
      </c>
      <c r="H15" s="155">
        <f t="shared" si="0"/>
        <v>8.1043000000000003</v>
      </c>
    </row>
    <row r="16" spans="1:8" s="101" customFormat="1" ht="14.1" customHeight="1">
      <c r="A16" s="150">
        <v>4</v>
      </c>
      <c r="B16" s="151" t="s">
        <v>46</v>
      </c>
      <c r="C16" s="156" t="s">
        <v>50</v>
      </c>
      <c r="D16" s="151">
        <v>1</v>
      </c>
      <c r="E16" s="153" t="s">
        <v>40</v>
      </c>
      <c r="F16" s="151" t="s">
        <v>24</v>
      </c>
      <c r="G16" s="154">
        <v>67.535700000000006</v>
      </c>
      <c r="H16" s="155">
        <f t="shared" si="0"/>
        <v>67.535700000000006</v>
      </c>
    </row>
    <row r="17" spans="1:8" s="101" customFormat="1" ht="14.1" customHeight="1">
      <c r="A17" s="150">
        <v>5</v>
      </c>
      <c r="B17" s="151" t="s">
        <v>46</v>
      </c>
      <c r="C17" s="156" t="s">
        <v>51</v>
      </c>
      <c r="D17" s="151">
        <v>1</v>
      </c>
      <c r="E17" s="153" t="s">
        <v>40</v>
      </c>
      <c r="F17" s="151" t="s">
        <v>24</v>
      </c>
      <c r="G17" s="154">
        <v>6.7535999999999996</v>
      </c>
      <c r="H17" s="155">
        <f t="shared" si="0"/>
        <v>6.7535999999999996</v>
      </c>
    </row>
    <row r="18" spans="1:8" s="101" customFormat="1" ht="14.1" customHeight="1">
      <c r="A18" s="150">
        <v>6</v>
      </c>
      <c r="B18" s="151" t="s">
        <v>52</v>
      </c>
      <c r="C18" s="156" t="s">
        <v>53</v>
      </c>
      <c r="D18" s="151">
        <v>1</v>
      </c>
      <c r="E18" s="153" t="s">
        <v>40</v>
      </c>
      <c r="F18" s="151" t="s">
        <v>24</v>
      </c>
      <c r="G18" s="154">
        <v>10.8057</v>
      </c>
      <c r="H18" s="155">
        <f t="shared" si="0"/>
        <v>10.8057</v>
      </c>
    </row>
    <row r="19" spans="1:8" s="101" customFormat="1" ht="14.1" customHeight="1">
      <c r="A19" s="150">
        <v>7</v>
      </c>
      <c r="B19" s="151" t="s">
        <v>52</v>
      </c>
      <c r="C19" s="156" t="s">
        <v>54</v>
      </c>
      <c r="D19" s="151">
        <v>2</v>
      </c>
      <c r="E19" s="153" t="s">
        <v>40</v>
      </c>
      <c r="F19" s="151" t="s">
        <v>24</v>
      </c>
      <c r="G19" s="154">
        <v>6.7535999999999996</v>
      </c>
      <c r="H19" s="155">
        <f t="shared" si="0"/>
        <v>13.507199999999999</v>
      </c>
    </row>
    <row r="20" spans="1:8" s="101" customFormat="1" ht="14.1" customHeight="1">
      <c r="A20" s="150">
        <v>8</v>
      </c>
      <c r="B20" s="151" t="s">
        <v>52</v>
      </c>
      <c r="C20" s="156" t="s">
        <v>55</v>
      </c>
      <c r="D20" s="151">
        <v>1</v>
      </c>
      <c r="E20" s="153" t="s">
        <v>40</v>
      </c>
      <c r="F20" s="151" t="s">
        <v>24</v>
      </c>
      <c r="G20" s="154">
        <v>6.7535999999999996</v>
      </c>
      <c r="H20" s="155">
        <f t="shared" si="0"/>
        <v>6.7535999999999996</v>
      </c>
    </row>
    <row r="21" spans="1:8" s="101" customFormat="1" ht="14.1" customHeight="1">
      <c r="A21" s="150">
        <v>9</v>
      </c>
      <c r="B21" s="151" t="s">
        <v>52</v>
      </c>
      <c r="C21" s="156" t="s">
        <v>56</v>
      </c>
      <c r="D21" s="151">
        <v>1</v>
      </c>
      <c r="E21" s="153" t="s">
        <v>40</v>
      </c>
      <c r="F21" s="151" t="s">
        <v>24</v>
      </c>
      <c r="G21" s="154">
        <v>40.5214</v>
      </c>
      <c r="H21" s="155">
        <f t="shared" si="0"/>
        <v>40.5214</v>
      </c>
    </row>
    <row r="22" spans="1:8" s="101" customFormat="1" ht="14.1" customHeight="1">
      <c r="A22" s="150">
        <v>10</v>
      </c>
      <c r="B22" s="151" t="s">
        <v>52</v>
      </c>
      <c r="C22" s="156" t="s">
        <v>57</v>
      </c>
      <c r="D22" s="151">
        <v>1</v>
      </c>
      <c r="E22" s="153" t="s">
        <v>40</v>
      </c>
      <c r="F22" s="151" t="s">
        <v>24</v>
      </c>
      <c r="G22" s="154">
        <v>6.7535999999999996</v>
      </c>
      <c r="H22" s="155">
        <f t="shared" si="0"/>
        <v>6.7535999999999996</v>
      </c>
    </row>
    <row r="23" spans="1:8" s="101" customFormat="1" ht="14.1" customHeight="1">
      <c r="A23" s="150">
        <v>11</v>
      </c>
      <c r="B23" s="151" t="s">
        <v>52</v>
      </c>
      <c r="C23" s="156" t="s">
        <v>58</v>
      </c>
      <c r="D23" s="151">
        <v>1</v>
      </c>
      <c r="E23" s="153" t="s">
        <v>40</v>
      </c>
      <c r="F23" s="151" t="s">
        <v>24</v>
      </c>
      <c r="G23" s="154">
        <v>10.8057</v>
      </c>
      <c r="H23" s="155">
        <f t="shared" si="0"/>
        <v>10.8057</v>
      </c>
    </row>
    <row r="24" spans="1:8" s="101" customFormat="1" ht="14.1" customHeight="1">
      <c r="A24" s="150">
        <v>12</v>
      </c>
      <c r="B24" s="151" t="s">
        <v>52</v>
      </c>
      <c r="C24" s="156" t="s">
        <v>59</v>
      </c>
      <c r="D24" s="151">
        <v>1</v>
      </c>
      <c r="E24" s="153" t="s">
        <v>40</v>
      </c>
      <c r="F24" s="151" t="s">
        <v>24</v>
      </c>
      <c r="G24" s="154">
        <v>10.8057</v>
      </c>
      <c r="H24" s="155">
        <f t="shared" si="0"/>
        <v>10.8057</v>
      </c>
    </row>
    <row r="25" spans="1:8" s="101" customFormat="1" ht="14.1" customHeight="1">
      <c r="A25" s="150">
        <v>13</v>
      </c>
      <c r="B25" s="151" t="s">
        <v>52</v>
      </c>
      <c r="C25" s="156" t="s">
        <v>60</v>
      </c>
      <c r="D25" s="151">
        <v>1</v>
      </c>
      <c r="E25" s="153" t="s">
        <v>40</v>
      </c>
      <c r="F25" s="151" t="s">
        <v>24</v>
      </c>
      <c r="G25" s="154">
        <v>10.8057</v>
      </c>
      <c r="H25" s="155">
        <f t="shared" si="0"/>
        <v>10.8057</v>
      </c>
    </row>
    <row r="26" spans="1:8" s="101" customFormat="1" ht="14.1" customHeight="1">
      <c r="A26" s="150">
        <v>14</v>
      </c>
      <c r="B26" s="151" t="s">
        <v>52</v>
      </c>
      <c r="C26" s="156" t="s">
        <v>61</v>
      </c>
      <c r="D26" s="151">
        <v>1</v>
      </c>
      <c r="E26" s="153" t="s">
        <v>40</v>
      </c>
      <c r="F26" s="151" t="s">
        <v>24</v>
      </c>
      <c r="G26" s="154">
        <v>6.7535999999999996</v>
      </c>
      <c r="H26" s="155">
        <f t="shared" si="0"/>
        <v>6.7535999999999996</v>
      </c>
    </row>
    <row r="27" spans="1:8" s="101" customFormat="1" ht="14.1" customHeight="1">
      <c r="A27" s="150">
        <v>15</v>
      </c>
      <c r="B27" s="151" t="s">
        <v>52</v>
      </c>
      <c r="C27" s="156" t="s">
        <v>62</v>
      </c>
      <c r="D27" s="151">
        <v>2</v>
      </c>
      <c r="E27" s="153" t="s">
        <v>40</v>
      </c>
      <c r="F27" s="151" t="s">
        <v>24</v>
      </c>
      <c r="G27" s="154">
        <v>13.507099999999999</v>
      </c>
      <c r="H27" s="155">
        <f t="shared" si="0"/>
        <v>27.014199999999999</v>
      </c>
    </row>
    <row r="28" spans="1:8" s="101" customFormat="1" ht="14.1" customHeight="1">
      <c r="A28" s="150">
        <v>16</v>
      </c>
      <c r="B28" s="151" t="s">
        <v>52</v>
      </c>
      <c r="C28" s="156" t="s">
        <v>63</v>
      </c>
      <c r="D28" s="151">
        <v>1</v>
      </c>
      <c r="E28" s="153" t="s">
        <v>40</v>
      </c>
      <c r="F28" s="151" t="s">
        <v>24</v>
      </c>
      <c r="G28" s="154">
        <v>6.7535999999999996</v>
      </c>
      <c r="H28" s="155">
        <f t="shared" si="0"/>
        <v>6.7535999999999996</v>
      </c>
    </row>
    <row r="29" spans="1:8" s="101" customFormat="1" ht="14.1" customHeight="1">
      <c r="A29" s="150">
        <v>17</v>
      </c>
      <c r="B29" s="151" t="s">
        <v>52</v>
      </c>
      <c r="C29" s="156" t="s">
        <v>64</v>
      </c>
      <c r="D29" s="151">
        <v>2</v>
      </c>
      <c r="E29" s="153" t="s">
        <v>40</v>
      </c>
      <c r="F29" s="151" t="s">
        <v>24</v>
      </c>
      <c r="G29" s="154">
        <v>6.7535999999999996</v>
      </c>
      <c r="H29" s="155">
        <f t="shared" si="0"/>
        <v>13.507199999999999</v>
      </c>
    </row>
    <row r="30" spans="1:8" s="101" customFormat="1" ht="14.1" customHeight="1">
      <c r="A30" s="150">
        <v>18</v>
      </c>
      <c r="B30" s="151" t="s">
        <v>52</v>
      </c>
      <c r="C30" s="156" t="s">
        <v>65</v>
      </c>
      <c r="D30" s="151">
        <v>2</v>
      </c>
      <c r="E30" s="153" t="s">
        <v>40</v>
      </c>
      <c r="F30" s="151" t="s">
        <v>24</v>
      </c>
      <c r="G30" s="154">
        <v>6.7535999999999996</v>
      </c>
      <c r="H30" s="155">
        <f t="shared" si="0"/>
        <v>13.507199999999999</v>
      </c>
    </row>
    <row r="31" spans="1:8" s="101" customFormat="1" ht="14.1" customHeight="1">
      <c r="A31" s="150">
        <v>19</v>
      </c>
      <c r="B31" s="151" t="s">
        <v>52</v>
      </c>
      <c r="C31" s="156" t="s">
        <v>66</v>
      </c>
      <c r="D31" s="151">
        <v>1</v>
      </c>
      <c r="E31" s="153" t="s">
        <v>40</v>
      </c>
      <c r="F31" s="151" t="s">
        <v>24</v>
      </c>
      <c r="G31" s="154">
        <v>6.7535999999999996</v>
      </c>
      <c r="H31" s="155">
        <f t="shared" si="0"/>
        <v>6.7535999999999996</v>
      </c>
    </row>
    <row r="32" spans="1:8" s="101" customFormat="1" ht="14.1" customHeight="1">
      <c r="A32" s="150">
        <v>20</v>
      </c>
      <c r="B32" s="151" t="s">
        <v>52</v>
      </c>
      <c r="C32" s="156" t="s">
        <v>67</v>
      </c>
      <c r="D32" s="151">
        <v>3</v>
      </c>
      <c r="E32" s="153" t="s">
        <v>40</v>
      </c>
      <c r="F32" s="151" t="s">
        <v>24</v>
      </c>
      <c r="G32" s="154">
        <v>6.7535999999999996</v>
      </c>
      <c r="H32" s="155">
        <f t="shared" si="0"/>
        <v>20.2608</v>
      </c>
    </row>
    <row r="33" spans="1:10" s="101" customFormat="1" ht="14.1" customHeight="1">
      <c r="A33" s="150">
        <v>21</v>
      </c>
      <c r="B33" s="151" t="s">
        <v>52</v>
      </c>
      <c r="C33" s="156" t="s">
        <v>68</v>
      </c>
      <c r="D33" s="151">
        <v>2</v>
      </c>
      <c r="E33" s="153" t="s">
        <v>40</v>
      </c>
      <c r="F33" s="151" t="s">
        <v>24</v>
      </c>
      <c r="G33" s="154">
        <v>8.1043000000000003</v>
      </c>
      <c r="H33" s="155">
        <f t="shared" si="0"/>
        <v>16.208600000000001</v>
      </c>
    </row>
    <row r="34" spans="1:10" s="101" customFormat="1" ht="14.1" customHeight="1">
      <c r="A34" s="150">
        <v>22</v>
      </c>
      <c r="B34" s="151" t="s">
        <v>52</v>
      </c>
      <c r="C34" s="156" t="s">
        <v>69</v>
      </c>
      <c r="D34" s="151">
        <v>1</v>
      </c>
      <c r="E34" s="153" t="s">
        <v>40</v>
      </c>
      <c r="F34" s="151" t="s">
        <v>24</v>
      </c>
      <c r="G34" s="154">
        <v>6.7535999999999996</v>
      </c>
      <c r="H34" s="155">
        <f t="shared" si="0"/>
        <v>6.7535999999999996</v>
      </c>
    </row>
    <row r="35" spans="1:10" s="101" customFormat="1" ht="14.1" customHeight="1">
      <c r="A35" s="150">
        <v>23</v>
      </c>
      <c r="B35" s="151" t="s">
        <v>52</v>
      </c>
      <c r="C35" s="156" t="s">
        <v>70</v>
      </c>
      <c r="D35" s="151">
        <v>1</v>
      </c>
      <c r="E35" s="153" t="s">
        <v>40</v>
      </c>
      <c r="F35" s="151" t="s">
        <v>24</v>
      </c>
      <c r="G35" s="154">
        <v>8.1043000000000003</v>
      </c>
      <c r="H35" s="155">
        <f t="shared" si="0"/>
        <v>8.1043000000000003</v>
      </c>
    </row>
    <row r="36" spans="1:10" s="101" customFormat="1" ht="14.1" customHeight="1">
      <c r="A36" s="150">
        <v>24</v>
      </c>
      <c r="B36" s="151" t="s">
        <v>71</v>
      </c>
      <c r="C36" s="156" t="s">
        <v>72</v>
      </c>
      <c r="D36" s="151">
        <v>3</v>
      </c>
      <c r="E36" s="153" t="s">
        <v>40</v>
      </c>
      <c r="F36" s="151" t="s">
        <v>24</v>
      </c>
      <c r="G36" s="154">
        <v>108.05719999999999</v>
      </c>
      <c r="H36" s="155">
        <f t="shared" si="0"/>
        <v>324.17160000000001</v>
      </c>
    </row>
    <row r="37" spans="1:10" s="101" customFormat="1" ht="14.1" customHeight="1">
      <c r="A37" s="150">
        <v>25</v>
      </c>
      <c r="B37" s="151" t="s">
        <v>73</v>
      </c>
      <c r="C37" s="156" t="s">
        <v>74</v>
      </c>
      <c r="D37" s="151">
        <v>1</v>
      </c>
      <c r="E37" s="153" t="s">
        <v>40</v>
      </c>
      <c r="F37" s="151" t="s">
        <v>24</v>
      </c>
      <c r="G37" s="154">
        <v>19.5854</v>
      </c>
      <c r="H37" s="155">
        <f t="shared" si="0"/>
        <v>19.5854</v>
      </c>
    </row>
    <row r="38" spans="1:10" s="101" customFormat="1" ht="20.25" customHeight="1">
      <c r="A38" s="157"/>
      <c r="B38" s="149"/>
      <c r="C38" s="149"/>
      <c r="D38" s="158">
        <f>SUM(D13:D37)</f>
        <v>40</v>
      </c>
      <c r="E38" s="159"/>
      <c r="F38" s="160"/>
      <c r="G38" s="161"/>
      <c r="H38" s="158">
        <f>SUM(H13:H37)</f>
        <v>738.16590000000019</v>
      </c>
    </row>
    <row r="39" spans="1:10" ht="14.25">
      <c r="A39" s="107"/>
      <c r="B39" s="108" t="s">
        <v>25</v>
      </c>
      <c r="C39" s="109"/>
      <c r="D39" s="110"/>
      <c r="E39" s="124"/>
      <c r="F39" s="124"/>
      <c r="G39" s="125"/>
      <c r="H39" s="126"/>
      <c r="J39" s="101"/>
    </row>
    <row r="40" spans="1:10" ht="14.25">
      <c r="A40" s="107"/>
      <c r="B40" s="108" t="s">
        <v>26</v>
      </c>
      <c r="C40" s="109"/>
      <c r="D40" s="110"/>
      <c r="E40" s="124"/>
      <c r="F40" s="124"/>
      <c r="G40" s="125"/>
      <c r="H40" s="126"/>
      <c r="J40" s="101"/>
    </row>
    <row r="41" spans="1:10" ht="14.25">
      <c r="A41" s="107"/>
      <c r="B41" s="162" t="s">
        <v>27</v>
      </c>
      <c r="C41" s="109"/>
      <c r="D41" s="110"/>
      <c r="E41" s="124"/>
      <c r="F41" s="124"/>
      <c r="G41" s="125"/>
      <c r="H41" s="126"/>
      <c r="J41" s="101"/>
    </row>
    <row r="42" spans="1:10" ht="14.25">
      <c r="A42" s="107"/>
      <c r="B42" s="108" t="s">
        <v>28</v>
      </c>
      <c r="C42" s="109"/>
      <c r="D42" s="110"/>
      <c r="E42" s="124"/>
      <c r="F42" s="124"/>
      <c r="G42" s="125"/>
      <c r="H42" s="126"/>
      <c r="J42" s="101"/>
    </row>
    <row r="43" spans="1:10" ht="14.25">
      <c r="A43" s="107"/>
      <c r="B43" s="108" t="s">
        <v>29</v>
      </c>
      <c r="C43" s="109"/>
      <c r="D43" s="110"/>
      <c r="E43" s="124"/>
      <c r="F43" s="124"/>
      <c r="G43" s="125"/>
      <c r="H43" s="126"/>
      <c r="J43" s="101"/>
    </row>
    <row r="44" spans="1:10" ht="14.25">
      <c r="A44" s="107"/>
      <c r="B44" s="108" t="s">
        <v>30</v>
      </c>
      <c r="C44" s="109"/>
      <c r="D44" s="110"/>
      <c r="E44" s="124"/>
      <c r="F44" s="124"/>
      <c r="G44" s="125"/>
      <c r="H44" s="126"/>
      <c r="J44" s="101"/>
    </row>
    <row r="45" spans="1:10" ht="14.25">
      <c r="A45" s="107"/>
      <c r="B45" s="108" t="s">
        <v>31</v>
      </c>
      <c r="C45" s="109"/>
      <c r="D45" s="110"/>
      <c r="E45" s="124"/>
      <c r="F45" s="124"/>
      <c r="G45" s="125"/>
      <c r="H45" s="126"/>
      <c r="J45" s="101"/>
    </row>
    <row r="46" spans="1:10" ht="18.75">
      <c r="A46" s="188" t="s">
        <v>32</v>
      </c>
      <c r="B46" s="189"/>
      <c r="C46" s="190"/>
      <c r="D46" s="163"/>
      <c r="E46" s="189" t="s">
        <v>33</v>
      </c>
      <c r="F46" s="189"/>
      <c r="G46" s="191"/>
      <c r="H46" s="192"/>
      <c r="J46" s="101"/>
    </row>
    <row r="47" spans="1:10" ht="14.25">
      <c r="A47" s="164"/>
      <c r="B47" s="165"/>
      <c r="C47" s="166"/>
      <c r="D47" s="167"/>
      <c r="E47" s="168"/>
      <c r="F47" s="168"/>
      <c r="G47" s="169"/>
      <c r="H47" s="170"/>
    </row>
  </sheetData>
  <mergeCells count="12">
    <mergeCell ref="A1:H1"/>
    <mergeCell ref="B5:H5"/>
    <mergeCell ref="B9:H9"/>
    <mergeCell ref="B11:C11"/>
    <mergeCell ref="A46:C46"/>
    <mergeCell ref="E46:H46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M55"/>
  <sheetViews>
    <sheetView tabSelected="1" topLeftCell="A36" workbookViewId="0">
      <selection activeCell="D17" sqref="D17"/>
    </sheetView>
  </sheetViews>
  <sheetFormatPr defaultColWidth="9" defaultRowHeight="13.5"/>
  <cols>
    <col min="1" max="1" width="5.140625" style="49" customWidth="1"/>
    <col min="2" max="2" width="19.42578125" style="49" customWidth="1"/>
    <col min="3" max="3" width="6.140625" style="49" customWidth="1"/>
    <col min="4" max="4" width="27.85546875" style="49" customWidth="1"/>
    <col min="5" max="5" width="21.42578125" style="49" customWidth="1"/>
    <col min="6" max="6" width="30" style="49" customWidth="1"/>
    <col min="7" max="7" width="12.42578125" style="3" customWidth="1"/>
    <col min="8" max="8" width="12.7109375" style="49" customWidth="1"/>
    <col min="9" max="9" width="12.42578125" style="50" customWidth="1"/>
    <col min="10" max="10" width="8" style="51" customWidth="1"/>
    <col min="11" max="11" width="11.85546875" style="52" customWidth="1"/>
    <col min="12" max="12" width="15" style="52" customWidth="1"/>
    <col min="13" max="16384" width="9" style="49"/>
  </cols>
  <sheetData>
    <row r="1" spans="1:12" ht="37.5" customHeight="1">
      <c r="A1" s="203" t="s">
        <v>75</v>
      </c>
      <c r="B1" s="204"/>
      <c r="C1" s="204"/>
      <c r="D1" s="204"/>
      <c r="E1" s="204"/>
      <c r="F1" s="204"/>
      <c r="G1" s="205"/>
      <c r="H1" s="204"/>
      <c r="I1" s="206"/>
      <c r="J1" s="204"/>
      <c r="K1" s="207"/>
      <c r="L1" s="208"/>
    </row>
    <row r="2" spans="1:12" s="45" customFormat="1" ht="20.100000000000001" customHeight="1">
      <c r="A2" s="209" t="s">
        <v>8</v>
      </c>
      <c r="B2" s="210"/>
      <c r="C2" s="53"/>
      <c r="D2" s="53"/>
      <c r="E2" s="53"/>
      <c r="F2" s="53"/>
      <c r="G2" s="54"/>
      <c r="H2" s="55"/>
      <c r="I2" s="76"/>
      <c r="J2" s="211" t="s">
        <v>76</v>
      </c>
      <c r="K2" s="212"/>
      <c r="L2" s="213"/>
    </row>
    <row r="3" spans="1:12" s="45" customFormat="1" ht="20.100000000000001" customHeight="1">
      <c r="A3" s="56"/>
      <c r="B3" s="214" t="s">
        <v>77</v>
      </c>
      <c r="C3" s="214"/>
      <c r="D3" s="214"/>
      <c r="E3" s="214"/>
      <c r="F3" s="214"/>
      <c r="G3" s="215"/>
      <c r="H3" s="214"/>
      <c r="I3" s="216"/>
      <c r="J3" s="217" t="s">
        <v>78</v>
      </c>
      <c r="K3" s="218"/>
      <c r="L3" s="219"/>
    </row>
    <row r="4" spans="1:12" s="45" customFormat="1" ht="20.100000000000001" customHeight="1">
      <c r="A4" s="56"/>
      <c r="B4" s="223" t="s">
        <v>10</v>
      </c>
      <c r="C4" s="223"/>
      <c r="D4" s="223"/>
      <c r="E4" s="223"/>
      <c r="F4" s="223"/>
      <c r="G4" s="224"/>
      <c r="H4" s="223"/>
      <c r="I4" s="225"/>
      <c r="J4" s="220" t="s">
        <v>79</v>
      </c>
      <c r="K4" s="221"/>
      <c r="L4" s="222"/>
    </row>
    <row r="5" spans="1:12" s="45" customFormat="1" ht="20.100000000000001" customHeight="1">
      <c r="A5" s="56"/>
      <c r="B5" s="223"/>
      <c r="C5" s="223"/>
      <c r="D5" s="223"/>
      <c r="E5" s="223"/>
      <c r="F5" s="223"/>
      <c r="G5" s="224"/>
      <c r="H5" s="223"/>
      <c r="I5" s="225"/>
      <c r="J5" s="220" t="s">
        <v>80</v>
      </c>
      <c r="K5" s="221"/>
      <c r="L5" s="222"/>
    </row>
    <row r="6" spans="1:12" s="45" customFormat="1" ht="21.75" customHeight="1">
      <c r="A6" s="57"/>
      <c r="B6" s="58" t="s">
        <v>81</v>
      </c>
      <c r="C6" s="59"/>
      <c r="D6" s="59"/>
      <c r="E6" s="59"/>
      <c r="F6" s="60"/>
      <c r="G6" s="61"/>
      <c r="H6" s="62"/>
      <c r="I6" s="77"/>
      <c r="J6" s="220" t="s">
        <v>82</v>
      </c>
      <c r="K6" s="221"/>
      <c r="L6" s="222"/>
    </row>
    <row r="7" spans="1:12" s="45" customFormat="1" ht="20.100000000000001" customHeight="1">
      <c r="A7" s="209" t="s">
        <v>3</v>
      </c>
      <c r="B7" s="210"/>
      <c r="C7" s="53"/>
      <c r="D7" s="53"/>
      <c r="E7" s="53"/>
      <c r="F7" s="53"/>
      <c r="G7" s="54"/>
      <c r="H7" s="55"/>
      <c r="I7" s="76"/>
      <c r="J7" s="220" t="s">
        <v>83</v>
      </c>
      <c r="K7" s="221"/>
      <c r="L7" s="222"/>
    </row>
    <row r="8" spans="1:12" s="45" customFormat="1" ht="20.100000000000001" customHeight="1">
      <c r="A8" s="56"/>
      <c r="B8" s="214" t="s">
        <v>84</v>
      </c>
      <c r="C8" s="214"/>
      <c r="D8" s="214"/>
      <c r="E8" s="214"/>
      <c r="F8" s="214"/>
      <c r="G8" s="215"/>
      <c r="H8" s="214"/>
      <c r="I8" s="216"/>
      <c r="J8" s="220" t="s">
        <v>85</v>
      </c>
      <c r="K8" s="221"/>
      <c r="L8" s="222"/>
    </row>
    <row r="9" spans="1:12" s="45" customFormat="1" ht="21.75" customHeight="1">
      <c r="A9" s="56"/>
      <c r="B9" s="223" t="s">
        <v>86</v>
      </c>
      <c r="C9" s="223"/>
      <c r="D9" s="223"/>
      <c r="E9" s="223"/>
      <c r="F9" s="223"/>
      <c r="G9" s="224"/>
      <c r="H9" s="223"/>
      <c r="I9" s="225"/>
      <c r="J9" s="220" t="s">
        <v>87</v>
      </c>
      <c r="K9" s="221"/>
      <c r="L9" s="222"/>
    </row>
    <row r="10" spans="1:12" s="45" customFormat="1" ht="24" customHeight="1">
      <c r="A10" s="56"/>
      <c r="B10" s="223"/>
      <c r="C10" s="223"/>
      <c r="D10" s="223"/>
      <c r="E10" s="223"/>
      <c r="F10" s="223"/>
      <c r="G10" s="224"/>
      <c r="H10" s="223"/>
      <c r="I10" s="225"/>
      <c r="J10" s="226" t="s">
        <v>88</v>
      </c>
      <c r="K10" s="227"/>
      <c r="L10" s="228"/>
    </row>
    <row r="11" spans="1:12" s="45" customFormat="1" ht="20.100000000000001" customHeight="1">
      <c r="A11" s="56"/>
      <c r="B11" s="229" t="s">
        <v>89</v>
      </c>
      <c r="C11" s="229"/>
      <c r="D11" s="229"/>
      <c r="E11" s="229"/>
      <c r="F11" s="229"/>
      <c r="G11" s="230"/>
      <c r="H11" s="229"/>
      <c r="I11" s="231"/>
      <c r="J11" s="217" t="s">
        <v>90</v>
      </c>
      <c r="K11" s="218"/>
      <c r="L11" s="219"/>
    </row>
    <row r="12" spans="1:12" s="45" customFormat="1" ht="20.100000000000001" customHeight="1">
      <c r="A12" s="63"/>
      <c r="B12" s="64" t="s">
        <v>91</v>
      </c>
      <c r="C12" s="64"/>
      <c r="D12" s="64"/>
      <c r="E12" s="64"/>
      <c r="F12" s="65"/>
      <c r="G12" s="66"/>
      <c r="H12" s="64"/>
      <c r="I12" s="78"/>
      <c r="J12" s="220"/>
      <c r="K12" s="221"/>
      <c r="L12" s="222"/>
    </row>
    <row r="13" spans="1:12" s="45" customFormat="1" ht="30" customHeight="1">
      <c r="A13" s="232" t="s">
        <v>92</v>
      </c>
      <c r="B13" s="233"/>
      <c r="C13" s="233"/>
      <c r="D13" s="233"/>
      <c r="E13" s="233"/>
      <c r="F13" s="233"/>
      <c r="G13" s="234"/>
      <c r="H13" s="235"/>
      <c r="I13" s="236"/>
      <c r="J13" s="237"/>
      <c r="K13" s="238"/>
      <c r="L13" s="239"/>
    </row>
    <row r="14" spans="1:12" s="46" customFormat="1" ht="26.25" customHeight="1">
      <c r="A14" s="247" t="s">
        <v>12</v>
      </c>
      <c r="B14" s="240" t="s">
        <v>93</v>
      </c>
      <c r="C14" s="241"/>
      <c r="D14" s="241"/>
      <c r="E14" s="241"/>
      <c r="F14" s="242"/>
      <c r="G14" s="249" t="s">
        <v>94</v>
      </c>
      <c r="H14" s="251" t="s">
        <v>95</v>
      </c>
      <c r="I14" s="249" t="s">
        <v>14</v>
      </c>
      <c r="J14" s="253" t="s">
        <v>15</v>
      </c>
      <c r="K14" s="255" t="s">
        <v>17</v>
      </c>
      <c r="L14" s="257" t="s">
        <v>18</v>
      </c>
    </row>
    <row r="15" spans="1:12" s="46" customFormat="1" ht="54">
      <c r="A15" s="248"/>
      <c r="B15" s="67" t="s">
        <v>96</v>
      </c>
      <c r="C15" s="67" t="s">
        <v>97</v>
      </c>
      <c r="D15" s="67" t="s">
        <v>98</v>
      </c>
      <c r="E15" s="67" t="s">
        <v>99</v>
      </c>
      <c r="F15" s="67" t="s">
        <v>20</v>
      </c>
      <c r="G15" s="250"/>
      <c r="H15" s="252"/>
      <c r="I15" s="250"/>
      <c r="J15" s="254"/>
      <c r="K15" s="256"/>
      <c r="L15" s="257"/>
    </row>
    <row r="16" spans="1:12" s="47" customFormat="1" ht="29.1" customHeight="1">
      <c r="A16" s="14">
        <v>1</v>
      </c>
      <c r="B16" s="15" t="s">
        <v>100</v>
      </c>
      <c r="C16" s="16">
        <v>1</v>
      </c>
      <c r="D16" s="16" t="s">
        <v>21</v>
      </c>
      <c r="E16" s="68" t="s">
        <v>101</v>
      </c>
      <c r="F16" s="69" t="s">
        <v>22</v>
      </c>
      <c r="G16" s="16">
        <v>84807190</v>
      </c>
      <c r="H16" s="16" t="s">
        <v>24</v>
      </c>
      <c r="I16" s="16">
        <v>1</v>
      </c>
      <c r="J16" s="16" t="s">
        <v>23</v>
      </c>
      <c r="K16" s="79">
        <v>6288.3873000000003</v>
      </c>
      <c r="L16" s="80">
        <f>K16*I16</f>
        <v>6288.3873000000003</v>
      </c>
    </row>
    <row r="17" spans="1:12" s="47" customFormat="1" ht="29.1" customHeight="1">
      <c r="A17" s="14">
        <v>2</v>
      </c>
      <c r="B17" s="15" t="s">
        <v>102</v>
      </c>
      <c r="C17" s="16">
        <v>7</v>
      </c>
      <c r="D17" s="16" t="s">
        <v>35</v>
      </c>
      <c r="E17" s="68" t="s">
        <v>103</v>
      </c>
      <c r="F17" s="15" t="s">
        <v>36</v>
      </c>
      <c r="G17" s="16">
        <v>84779039</v>
      </c>
      <c r="H17" s="16" t="s">
        <v>24</v>
      </c>
      <c r="I17" s="16">
        <v>1</v>
      </c>
      <c r="J17" s="16" t="s">
        <v>23</v>
      </c>
      <c r="K17" s="81">
        <v>54.028599999999997</v>
      </c>
      <c r="L17" s="80">
        <f t="shared" ref="L17:L45" si="0">K17*I17</f>
        <v>54.028599999999997</v>
      </c>
    </row>
    <row r="18" spans="1:12" s="47" customFormat="1" ht="29.1" customHeight="1">
      <c r="A18" s="14">
        <v>3</v>
      </c>
      <c r="B18" s="15" t="s">
        <v>104</v>
      </c>
      <c r="C18" s="16">
        <v>1</v>
      </c>
      <c r="D18" s="16" t="s">
        <v>38</v>
      </c>
      <c r="E18" s="68" t="s">
        <v>105</v>
      </c>
      <c r="F18" s="15" t="s">
        <v>39</v>
      </c>
      <c r="G18" s="16">
        <v>85166090</v>
      </c>
      <c r="H18" s="16" t="s">
        <v>24</v>
      </c>
      <c r="I18" s="16">
        <v>1</v>
      </c>
      <c r="J18" s="16" t="s">
        <v>40</v>
      </c>
      <c r="K18" s="81">
        <v>87.796499999999995</v>
      </c>
      <c r="L18" s="80">
        <f t="shared" si="0"/>
        <v>87.796499999999995</v>
      </c>
    </row>
    <row r="19" spans="1:12" s="47" customFormat="1" ht="29.1" customHeight="1">
      <c r="A19" s="14">
        <v>4</v>
      </c>
      <c r="B19" s="15" t="s">
        <v>104</v>
      </c>
      <c r="C19" s="16">
        <v>2</v>
      </c>
      <c r="D19" s="16" t="s">
        <v>41</v>
      </c>
      <c r="E19" s="68" t="s">
        <v>106</v>
      </c>
      <c r="F19" s="15" t="s">
        <v>39</v>
      </c>
      <c r="G19" s="16">
        <v>85166090</v>
      </c>
      <c r="H19" s="16" t="s">
        <v>24</v>
      </c>
      <c r="I19" s="16">
        <v>6</v>
      </c>
      <c r="J19" s="16" t="s">
        <v>40</v>
      </c>
      <c r="K19" s="81">
        <v>87.796499999999995</v>
      </c>
      <c r="L19" s="80">
        <f t="shared" si="0"/>
        <v>526.779</v>
      </c>
    </row>
    <row r="20" spans="1:12" s="47" customFormat="1" ht="29.1" customHeight="1">
      <c r="A20" s="14">
        <v>5</v>
      </c>
      <c r="B20" s="15" t="s">
        <v>104</v>
      </c>
      <c r="C20" s="16">
        <v>3</v>
      </c>
      <c r="D20" s="16" t="s">
        <v>42</v>
      </c>
      <c r="E20" s="68" t="s">
        <v>107</v>
      </c>
      <c r="F20" s="15" t="s">
        <v>43</v>
      </c>
      <c r="G20" s="16">
        <v>85444929</v>
      </c>
      <c r="H20" s="16" t="s">
        <v>24</v>
      </c>
      <c r="I20" s="16">
        <v>15</v>
      </c>
      <c r="J20" s="16" t="s">
        <v>44</v>
      </c>
      <c r="K20" s="81">
        <v>8.1043000000000003</v>
      </c>
      <c r="L20" s="80">
        <f t="shared" si="0"/>
        <v>121.56450000000001</v>
      </c>
    </row>
    <row r="21" spans="1:12" s="47" customFormat="1" ht="29.1" customHeight="1">
      <c r="A21" s="14">
        <v>6</v>
      </c>
      <c r="B21" s="15" t="s">
        <v>108</v>
      </c>
      <c r="C21" s="16">
        <v>1</v>
      </c>
      <c r="D21" s="16" t="s">
        <v>46</v>
      </c>
      <c r="E21" s="68" t="s">
        <v>109</v>
      </c>
      <c r="F21" s="15" t="s">
        <v>47</v>
      </c>
      <c r="G21" s="16">
        <v>84662090</v>
      </c>
      <c r="H21" s="16" t="s">
        <v>24</v>
      </c>
      <c r="I21" s="16">
        <v>4</v>
      </c>
      <c r="J21" s="16" t="s">
        <v>40</v>
      </c>
      <c r="K21" s="81">
        <v>10.8057</v>
      </c>
      <c r="L21" s="80">
        <f t="shared" si="0"/>
        <v>43.222799999999999</v>
      </c>
    </row>
    <row r="22" spans="1:12" s="47" customFormat="1" ht="29.1" customHeight="1">
      <c r="A22" s="14">
        <v>7</v>
      </c>
      <c r="B22" s="15" t="s">
        <v>108</v>
      </c>
      <c r="C22" s="16">
        <v>2</v>
      </c>
      <c r="D22" s="16" t="s">
        <v>46</v>
      </c>
      <c r="E22" s="68" t="s">
        <v>110</v>
      </c>
      <c r="F22" s="15" t="s">
        <v>48</v>
      </c>
      <c r="G22" s="16">
        <v>84662090</v>
      </c>
      <c r="H22" s="16" t="s">
        <v>24</v>
      </c>
      <c r="I22" s="16">
        <v>4</v>
      </c>
      <c r="J22" s="16" t="s">
        <v>40</v>
      </c>
      <c r="K22" s="81">
        <v>8.1043000000000003</v>
      </c>
      <c r="L22" s="80">
        <f t="shared" si="0"/>
        <v>32.417200000000001</v>
      </c>
    </row>
    <row r="23" spans="1:12" s="47" customFormat="1" ht="29.1" customHeight="1">
      <c r="A23" s="14">
        <v>8</v>
      </c>
      <c r="B23" s="15" t="s">
        <v>108</v>
      </c>
      <c r="C23" s="16">
        <v>3</v>
      </c>
      <c r="D23" s="16" t="s">
        <v>46</v>
      </c>
      <c r="E23" s="68" t="s">
        <v>111</v>
      </c>
      <c r="F23" s="15" t="s">
        <v>49</v>
      </c>
      <c r="G23" s="16">
        <v>84662090</v>
      </c>
      <c r="H23" s="16" t="s">
        <v>24</v>
      </c>
      <c r="I23" s="16">
        <v>1</v>
      </c>
      <c r="J23" s="16" t="s">
        <v>40</v>
      </c>
      <c r="K23" s="81">
        <v>8.1043000000000003</v>
      </c>
      <c r="L23" s="80">
        <f t="shared" si="0"/>
        <v>8.1043000000000003</v>
      </c>
    </row>
    <row r="24" spans="1:12" s="47" customFormat="1" ht="29.1" customHeight="1">
      <c r="A24" s="14">
        <v>9</v>
      </c>
      <c r="B24" s="15" t="s">
        <v>108</v>
      </c>
      <c r="C24" s="16">
        <v>4</v>
      </c>
      <c r="D24" s="16" t="s">
        <v>46</v>
      </c>
      <c r="E24" s="68" t="s">
        <v>112</v>
      </c>
      <c r="F24" s="15" t="s">
        <v>50</v>
      </c>
      <c r="G24" s="16">
        <v>84662090</v>
      </c>
      <c r="H24" s="16" t="s">
        <v>24</v>
      </c>
      <c r="I24" s="16">
        <v>1</v>
      </c>
      <c r="J24" s="16" t="s">
        <v>40</v>
      </c>
      <c r="K24" s="81">
        <v>67.535700000000006</v>
      </c>
      <c r="L24" s="80">
        <f t="shared" si="0"/>
        <v>67.535700000000006</v>
      </c>
    </row>
    <row r="25" spans="1:12" s="47" customFormat="1" ht="29.1" customHeight="1">
      <c r="A25" s="14">
        <v>10</v>
      </c>
      <c r="B25" s="15" t="s">
        <v>108</v>
      </c>
      <c r="C25" s="16">
        <v>5</v>
      </c>
      <c r="D25" s="16" t="s">
        <v>46</v>
      </c>
      <c r="E25" s="68" t="s">
        <v>113</v>
      </c>
      <c r="F25" s="15" t="s">
        <v>51</v>
      </c>
      <c r="G25" s="16">
        <v>84662090</v>
      </c>
      <c r="H25" s="16" t="s">
        <v>24</v>
      </c>
      <c r="I25" s="16">
        <v>1</v>
      </c>
      <c r="J25" s="16" t="s">
        <v>40</v>
      </c>
      <c r="K25" s="81">
        <v>6.7535999999999996</v>
      </c>
      <c r="L25" s="80">
        <f t="shared" si="0"/>
        <v>6.7535999999999996</v>
      </c>
    </row>
    <row r="26" spans="1:12" s="47" customFormat="1" ht="29.1" customHeight="1">
      <c r="A26" s="14">
        <v>11</v>
      </c>
      <c r="B26" s="15" t="s">
        <v>108</v>
      </c>
      <c r="C26" s="16">
        <v>6</v>
      </c>
      <c r="D26" s="16" t="s">
        <v>52</v>
      </c>
      <c r="E26" s="68" t="s">
        <v>114</v>
      </c>
      <c r="F26" s="15" t="s">
        <v>53</v>
      </c>
      <c r="G26" s="16">
        <v>84662090</v>
      </c>
      <c r="H26" s="16" t="s">
        <v>24</v>
      </c>
      <c r="I26" s="16">
        <v>1</v>
      </c>
      <c r="J26" s="16" t="s">
        <v>40</v>
      </c>
      <c r="K26" s="81">
        <v>10.8057</v>
      </c>
      <c r="L26" s="80">
        <f t="shared" si="0"/>
        <v>10.8057</v>
      </c>
    </row>
    <row r="27" spans="1:12" s="47" customFormat="1" ht="29.1" customHeight="1">
      <c r="A27" s="14">
        <v>12</v>
      </c>
      <c r="B27" s="15" t="s">
        <v>108</v>
      </c>
      <c r="C27" s="16">
        <v>7</v>
      </c>
      <c r="D27" s="16" t="s">
        <v>52</v>
      </c>
      <c r="E27" s="68" t="s">
        <v>115</v>
      </c>
      <c r="F27" s="15" t="s">
        <v>54</v>
      </c>
      <c r="G27" s="16">
        <v>84662090</v>
      </c>
      <c r="H27" s="16" t="s">
        <v>24</v>
      </c>
      <c r="I27" s="16">
        <v>2</v>
      </c>
      <c r="J27" s="16" t="s">
        <v>40</v>
      </c>
      <c r="K27" s="81">
        <v>6.7535999999999996</v>
      </c>
      <c r="L27" s="80">
        <f t="shared" si="0"/>
        <v>13.507199999999999</v>
      </c>
    </row>
    <row r="28" spans="1:12" s="47" customFormat="1" ht="29.1" customHeight="1">
      <c r="A28" s="14">
        <v>13</v>
      </c>
      <c r="B28" s="15" t="s">
        <v>108</v>
      </c>
      <c r="C28" s="16">
        <v>8</v>
      </c>
      <c r="D28" s="16" t="s">
        <v>52</v>
      </c>
      <c r="E28" s="68" t="s">
        <v>116</v>
      </c>
      <c r="F28" s="15" t="s">
        <v>55</v>
      </c>
      <c r="G28" s="16">
        <v>84662090</v>
      </c>
      <c r="H28" s="16" t="s">
        <v>24</v>
      </c>
      <c r="I28" s="16">
        <v>1</v>
      </c>
      <c r="J28" s="16" t="s">
        <v>40</v>
      </c>
      <c r="K28" s="81">
        <v>6.7535999999999996</v>
      </c>
      <c r="L28" s="80">
        <f t="shared" si="0"/>
        <v>6.7535999999999996</v>
      </c>
    </row>
    <row r="29" spans="1:12" s="47" customFormat="1" ht="29.1" customHeight="1">
      <c r="A29" s="14">
        <v>14</v>
      </c>
      <c r="B29" s="15" t="s">
        <v>108</v>
      </c>
      <c r="C29" s="16">
        <v>9</v>
      </c>
      <c r="D29" s="16" t="s">
        <v>52</v>
      </c>
      <c r="E29" s="68" t="s">
        <v>117</v>
      </c>
      <c r="F29" s="15" t="s">
        <v>56</v>
      </c>
      <c r="G29" s="16">
        <v>84662090</v>
      </c>
      <c r="H29" s="16" t="s">
        <v>24</v>
      </c>
      <c r="I29" s="16">
        <v>1</v>
      </c>
      <c r="J29" s="16" t="s">
        <v>40</v>
      </c>
      <c r="K29" s="81">
        <v>40.5214</v>
      </c>
      <c r="L29" s="80">
        <f t="shared" si="0"/>
        <v>40.5214</v>
      </c>
    </row>
    <row r="30" spans="1:12" s="47" customFormat="1" ht="29.1" customHeight="1">
      <c r="A30" s="14">
        <v>15</v>
      </c>
      <c r="B30" s="15" t="s">
        <v>108</v>
      </c>
      <c r="C30" s="16">
        <v>10</v>
      </c>
      <c r="D30" s="16" t="s">
        <v>52</v>
      </c>
      <c r="E30" s="68" t="s">
        <v>118</v>
      </c>
      <c r="F30" s="15" t="s">
        <v>57</v>
      </c>
      <c r="G30" s="16">
        <v>84662090</v>
      </c>
      <c r="H30" s="16" t="s">
        <v>24</v>
      </c>
      <c r="I30" s="16">
        <v>1</v>
      </c>
      <c r="J30" s="16" t="s">
        <v>40</v>
      </c>
      <c r="K30" s="81">
        <v>6.7535999999999996</v>
      </c>
      <c r="L30" s="80">
        <f t="shared" si="0"/>
        <v>6.7535999999999996</v>
      </c>
    </row>
    <row r="31" spans="1:12" s="47" customFormat="1" ht="29.1" customHeight="1">
      <c r="A31" s="14">
        <v>16</v>
      </c>
      <c r="B31" s="15" t="s">
        <v>108</v>
      </c>
      <c r="C31" s="16">
        <v>11</v>
      </c>
      <c r="D31" s="16" t="s">
        <v>52</v>
      </c>
      <c r="E31" s="68" t="s">
        <v>119</v>
      </c>
      <c r="F31" s="15" t="s">
        <v>58</v>
      </c>
      <c r="G31" s="16">
        <v>84662090</v>
      </c>
      <c r="H31" s="16" t="s">
        <v>24</v>
      </c>
      <c r="I31" s="16">
        <v>1</v>
      </c>
      <c r="J31" s="16" t="s">
        <v>40</v>
      </c>
      <c r="K31" s="81">
        <v>10.8057</v>
      </c>
      <c r="L31" s="80">
        <f t="shared" si="0"/>
        <v>10.8057</v>
      </c>
    </row>
    <row r="32" spans="1:12" s="47" customFormat="1" ht="29.1" customHeight="1">
      <c r="A32" s="14">
        <v>17</v>
      </c>
      <c r="B32" s="15" t="s">
        <v>108</v>
      </c>
      <c r="C32" s="16">
        <v>12</v>
      </c>
      <c r="D32" s="16" t="s">
        <v>52</v>
      </c>
      <c r="E32" s="68" t="s">
        <v>120</v>
      </c>
      <c r="F32" s="15" t="s">
        <v>59</v>
      </c>
      <c r="G32" s="16">
        <v>84662090</v>
      </c>
      <c r="H32" s="16" t="s">
        <v>24</v>
      </c>
      <c r="I32" s="16">
        <v>1</v>
      </c>
      <c r="J32" s="16" t="s">
        <v>40</v>
      </c>
      <c r="K32" s="81">
        <v>10.8057</v>
      </c>
      <c r="L32" s="80">
        <f t="shared" si="0"/>
        <v>10.8057</v>
      </c>
    </row>
    <row r="33" spans="1:13" s="47" customFormat="1" ht="29.1" customHeight="1">
      <c r="A33" s="14">
        <v>18</v>
      </c>
      <c r="B33" s="15" t="s">
        <v>108</v>
      </c>
      <c r="C33" s="16">
        <v>13</v>
      </c>
      <c r="D33" s="16" t="s">
        <v>52</v>
      </c>
      <c r="E33" s="68" t="s">
        <v>121</v>
      </c>
      <c r="F33" s="15" t="s">
        <v>60</v>
      </c>
      <c r="G33" s="16">
        <v>84662090</v>
      </c>
      <c r="H33" s="16" t="s">
        <v>24</v>
      </c>
      <c r="I33" s="16">
        <v>1</v>
      </c>
      <c r="J33" s="16" t="s">
        <v>40</v>
      </c>
      <c r="K33" s="81">
        <v>10.8057</v>
      </c>
      <c r="L33" s="80">
        <f t="shared" si="0"/>
        <v>10.8057</v>
      </c>
    </row>
    <row r="34" spans="1:13" s="47" customFormat="1" ht="29.1" customHeight="1">
      <c r="A34" s="14">
        <v>19</v>
      </c>
      <c r="B34" s="15" t="s">
        <v>108</v>
      </c>
      <c r="C34" s="16">
        <v>14</v>
      </c>
      <c r="D34" s="16" t="s">
        <v>52</v>
      </c>
      <c r="E34" s="68" t="s">
        <v>122</v>
      </c>
      <c r="F34" s="15" t="s">
        <v>61</v>
      </c>
      <c r="G34" s="16">
        <v>84662090</v>
      </c>
      <c r="H34" s="16" t="s">
        <v>24</v>
      </c>
      <c r="I34" s="16">
        <v>1</v>
      </c>
      <c r="J34" s="16" t="s">
        <v>40</v>
      </c>
      <c r="K34" s="81">
        <v>6.7535999999999996</v>
      </c>
      <c r="L34" s="80">
        <f t="shared" si="0"/>
        <v>6.7535999999999996</v>
      </c>
    </row>
    <row r="35" spans="1:13" s="47" customFormat="1" ht="29.1" customHeight="1">
      <c r="A35" s="14">
        <v>20</v>
      </c>
      <c r="B35" s="15" t="s">
        <v>108</v>
      </c>
      <c r="C35" s="16">
        <v>15</v>
      </c>
      <c r="D35" s="16" t="s">
        <v>52</v>
      </c>
      <c r="E35" s="68" t="s">
        <v>123</v>
      </c>
      <c r="F35" s="15" t="s">
        <v>62</v>
      </c>
      <c r="G35" s="16">
        <v>84662090</v>
      </c>
      <c r="H35" s="16" t="s">
        <v>24</v>
      </c>
      <c r="I35" s="16">
        <v>2</v>
      </c>
      <c r="J35" s="16" t="s">
        <v>40</v>
      </c>
      <c r="K35" s="81">
        <v>13.507099999999999</v>
      </c>
      <c r="L35" s="80">
        <f t="shared" si="0"/>
        <v>27.014199999999999</v>
      </c>
    </row>
    <row r="36" spans="1:13" s="47" customFormat="1" ht="29.1" customHeight="1">
      <c r="A36" s="14">
        <v>21</v>
      </c>
      <c r="B36" s="15" t="s">
        <v>108</v>
      </c>
      <c r="C36" s="16">
        <v>16</v>
      </c>
      <c r="D36" s="16" t="s">
        <v>52</v>
      </c>
      <c r="E36" s="68" t="s">
        <v>124</v>
      </c>
      <c r="F36" s="15" t="s">
        <v>63</v>
      </c>
      <c r="G36" s="16">
        <v>84662090</v>
      </c>
      <c r="H36" s="16" t="s">
        <v>24</v>
      </c>
      <c r="I36" s="16">
        <v>1</v>
      </c>
      <c r="J36" s="16" t="s">
        <v>40</v>
      </c>
      <c r="K36" s="81">
        <v>6.7535999999999996</v>
      </c>
      <c r="L36" s="80">
        <f t="shared" si="0"/>
        <v>6.7535999999999996</v>
      </c>
    </row>
    <row r="37" spans="1:13" s="47" customFormat="1" ht="29.1" customHeight="1">
      <c r="A37" s="14">
        <v>22</v>
      </c>
      <c r="B37" s="15" t="s">
        <v>108</v>
      </c>
      <c r="C37" s="16">
        <v>17</v>
      </c>
      <c r="D37" s="16" t="s">
        <v>52</v>
      </c>
      <c r="E37" s="68" t="s">
        <v>125</v>
      </c>
      <c r="F37" s="15" t="s">
        <v>64</v>
      </c>
      <c r="G37" s="16">
        <v>84662090</v>
      </c>
      <c r="H37" s="16" t="s">
        <v>24</v>
      </c>
      <c r="I37" s="16">
        <v>2</v>
      </c>
      <c r="J37" s="16" t="s">
        <v>40</v>
      </c>
      <c r="K37" s="81">
        <v>6.7535999999999996</v>
      </c>
      <c r="L37" s="80">
        <f t="shared" si="0"/>
        <v>13.507199999999999</v>
      </c>
    </row>
    <row r="38" spans="1:13" s="47" customFormat="1" ht="29.1" customHeight="1">
      <c r="A38" s="14">
        <v>23</v>
      </c>
      <c r="B38" s="15" t="s">
        <v>108</v>
      </c>
      <c r="C38" s="16">
        <v>18</v>
      </c>
      <c r="D38" s="16" t="s">
        <v>52</v>
      </c>
      <c r="E38" s="68" t="s">
        <v>126</v>
      </c>
      <c r="F38" s="15" t="s">
        <v>65</v>
      </c>
      <c r="G38" s="16">
        <v>84662090</v>
      </c>
      <c r="H38" s="16" t="s">
        <v>24</v>
      </c>
      <c r="I38" s="16">
        <v>2</v>
      </c>
      <c r="J38" s="16" t="s">
        <v>40</v>
      </c>
      <c r="K38" s="81">
        <v>6.7535999999999996</v>
      </c>
      <c r="L38" s="80">
        <f t="shared" si="0"/>
        <v>13.507199999999999</v>
      </c>
    </row>
    <row r="39" spans="1:13" s="47" customFormat="1" ht="29.1" customHeight="1">
      <c r="A39" s="14">
        <v>24</v>
      </c>
      <c r="B39" s="15" t="s">
        <v>108</v>
      </c>
      <c r="C39" s="16">
        <v>19</v>
      </c>
      <c r="D39" s="16" t="s">
        <v>52</v>
      </c>
      <c r="E39" s="68" t="s">
        <v>127</v>
      </c>
      <c r="F39" s="15" t="s">
        <v>66</v>
      </c>
      <c r="G39" s="16">
        <v>84662090</v>
      </c>
      <c r="H39" s="16" t="s">
        <v>24</v>
      </c>
      <c r="I39" s="16">
        <v>1</v>
      </c>
      <c r="J39" s="16" t="s">
        <v>40</v>
      </c>
      <c r="K39" s="81">
        <v>6.7535999999999996</v>
      </c>
      <c r="L39" s="80">
        <f t="shared" si="0"/>
        <v>6.7535999999999996</v>
      </c>
    </row>
    <row r="40" spans="1:13" s="47" customFormat="1" ht="29.1" customHeight="1">
      <c r="A40" s="14">
        <v>25</v>
      </c>
      <c r="B40" s="15" t="s">
        <v>108</v>
      </c>
      <c r="C40" s="16">
        <v>20</v>
      </c>
      <c r="D40" s="16" t="s">
        <v>52</v>
      </c>
      <c r="E40" s="68" t="s">
        <v>128</v>
      </c>
      <c r="F40" s="15" t="s">
        <v>67</v>
      </c>
      <c r="G40" s="16">
        <v>84662090</v>
      </c>
      <c r="H40" s="16" t="s">
        <v>24</v>
      </c>
      <c r="I40" s="16">
        <v>3</v>
      </c>
      <c r="J40" s="16" t="s">
        <v>40</v>
      </c>
      <c r="K40" s="81">
        <v>6.7535999999999996</v>
      </c>
      <c r="L40" s="80">
        <f t="shared" si="0"/>
        <v>20.2608</v>
      </c>
    </row>
    <row r="41" spans="1:13" s="47" customFormat="1" ht="29.1" customHeight="1">
      <c r="A41" s="14">
        <v>26</v>
      </c>
      <c r="B41" s="15" t="s">
        <v>108</v>
      </c>
      <c r="C41" s="16">
        <v>21</v>
      </c>
      <c r="D41" s="16" t="s">
        <v>52</v>
      </c>
      <c r="E41" s="68" t="s">
        <v>129</v>
      </c>
      <c r="F41" s="15" t="s">
        <v>68</v>
      </c>
      <c r="G41" s="16">
        <v>84662090</v>
      </c>
      <c r="H41" s="16" t="s">
        <v>24</v>
      </c>
      <c r="I41" s="16">
        <v>2</v>
      </c>
      <c r="J41" s="16" t="s">
        <v>40</v>
      </c>
      <c r="K41" s="81">
        <v>8.1043000000000003</v>
      </c>
      <c r="L41" s="80">
        <f t="shared" si="0"/>
        <v>16.208600000000001</v>
      </c>
    </row>
    <row r="42" spans="1:13" s="47" customFormat="1" ht="29.1" customHeight="1">
      <c r="A42" s="14">
        <v>27</v>
      </c>
      <c r="B42" s="15" t="s">
        <v>108</v>
      </c>
      <c r="C42" s="16">
        <v>22</v>
      </c>
      <c r="D42" s="16" t="s">
        <v>52</v>
      </c>
      <c r="E42" s="68" t="s">
        <v>130</v>
      </c>
      <c r="F42" s="15" t="s">
        <v>69</v>
      </c>
      <c r="G42" s="16">
        <v>84662090</v>
      </c>
      <c r="H42" s="16" t="s">
        <v>24</v>
      </c>
      <c r="I42" s="16">
        <v>1</v>
      </c>
      <c r="J42" s="16" t="s">
        <v>40</v>
      </c>
      <c r="K42" s="81">
        <v>6.7535999999999996</v>
      </c>
      <c r="L42" s="80">
        <f t="shared" si="0"/>
        <v>6.7535999999999996</v>
      </c>
    </row>
    <row r="43" spans="1:13" s="47" customFormat="1" ht="29.1" customHeight="1">
      <c r="A43" s="14">
        <v>28</v>
      </c>
      <c r="B43" s="15" t="s">
        <v>108</v>
      </c>
      <c r="C43" s="16">
        <v>23</v>
      </c>
      <c r="D43" s="16" t="s">
        <v>52</v>
      </c>
      <c r="E43" s="68" t="s">
        <v>131</v>
      </c>
      <c r="F43" s="15" t="s">
        <v>70</v>
      </c>
      <c r="G43" s="16">
        <v>84662090</v>
      </c>
      <c r="H43" s="16" t="s">
        <v>24</v>
      </c>
      <c r="I43" s="16">
        <v>1</v>
      </c>
      <c r="J43" s="16" t="s">
        <v>40</v>
      </c>
      <c r="K43" s="81">
        <v>8.1043000000000003</v>
      </c>
      <c r="L43" s="80">
        <f t="shared" si="0"/>
        <v>8.1043000000000003</v>
      </c>
    </row>
    <row r="44" spans="1:13" s="47" customFormat="1" ht="29.1" customHeight="1">
      <c r="A44" s="14">
        <v>29</v>
      </c>
      <c r="B44" s="15" t="s">
        <v>108</v>
      </c>
      <c r="C44" s="16">
        <v>24</v>
      </c>
      <c r="D44" s="16" t="s">
        <v>71</v>
      </c>
      <c r="E44" s="68" t="s">
        <v>132</v>
      </c>
      <c r="F44" s="15" t="s">
        <v>72</v>
      </c>
      <c r="G44" s="16">
        <v>84662090</v>
      </c>
      <c r="H44" s="16" t="s">
        <v>24</v>
      </c>
      <c r="I44" s="16">
        <v>3</v>
      </c>
      <c r="J44" s="16" t="s">
        <v>40</v>
      </c>
      <c r="K44" s="81">
        <v>108.05719999999999</v>
      </c>
      <c r="L44" s="80">
        <f t="shared" si="0"/>
        <v>324.17160000000001</v>
      </c>
    </row>
    <row r="45" spans="1:13" s="47" customFormat="1" ht="29.1" customHeight="1">
      <c r="A45" s="14">
        <v>30</v>
      </c>
      <c r="B45" s="15" t="s">
        <v>108</v>
      </c>
      <c r="C45" s="16">
        <v>25</v>
      </c>
      <c r="D45" s="16" t="s">
        <v>73</v>
      </c>
      <c r="E45" s="68" t="s">
        <v>133</v>
      </c>
      <c r="F45" s="15" t="s">
        <v>74</v>
      </c>
      <c r="G45" s="16">
        <v>73144900</v>
      </c>
      <c r="H45" s="16" t="s">
        <v>24</v>
      </c>
      <c r="I45" s="16">
        <v>1</v>
      </c>
      <c r="J45" s="16" t="s">
        <v>40</v>
      </c>
      <c r="K45" s="81">
        <v>19.5854</v>
      </c>
      <c r="L45" s="80">
        <f t="shared" si="0"/>
        <v>19.5854</v>
      </c>
    </row>
    <row r="46" spans="1:13" s="48" customFormat="1" ht="21.95" customHeight="1">
      <c r="A46" s="245" t="s">
        <v>134</v>
      </c>
      <c r="B46" s="246"/>
      <c r="C46" s="246"/>
      <c r="D46" s="246"/>
      <c r="E46" s="246"/>
      <c r="F46" s="246"/>
      <c r="G46" s="246"/>
      <c r="H46" s="246"/>
      <c r="I46" s="82">
        <f>SUM(I16:I45)</f>
        <v>64</v>
      </c>
      <c r="J46" s="82"/>
      <c r="K46" s="83"/>
      <c r="L46" s="84">
        <f>SUM(L16:L45)</f>
        <v>7816.7217999999993</v>
      </c>
      <c r="M46" s="47"/>
    </row>
    <row r="47" spans="1:13" s="45" customFormat="1" ht="24" customHeight="1">
      <c r="A47" s="70"/>
      <c r="G47" s="71"/>
      <c r="I47" s="85"/>
      <c r="J47" s="86"/>
      <c r="K47" s="87"/>
      <c r="L47" s="88"/>
    </row>
    <row r="48" spans="1:13" s="45" customFormat="1" ht="17.25" customHeight="1">
      <c r="A48" s="70"/>
      <c r="F48" s="243" t="s">
        <v>9</v>
      </c>
      <c r="G48" s="243"/>
      <c r="H48" s="243"/>
      <c r="I48" s="243"/>
      <c r="J48" s="243"/>
      <c r="K48" s="243"/>
      <c r="L48" s="244"/>
    </row>
    <row r="49" spans="1:12" s="45" customFormat="1" ht="17.25">
      <c r="A49" s="70"/>
      <c r="G49" s="71"/>
      <c r="I49" s="89"/>
      <c r="J49" s="90"/>
      <c r="K49" s="91"/>
      <c r="L49" s="88"/>
    </row>
    <row r="50" spans="1:12" ht="18.75">
      <c r="A50" s="72"/>
      <c r="F50" s="73"/>
      <c r="I50" s="92"/>
      <c r="J50" s="93"/>
      <c r="K50" s="94"/>
      <c r="L50" s="95"/>
    </row>
    <row r="51" spans="1:12" ht="18.75">
      <c r="A51" s="72"/>
      <c r="I51" s="92"/>
      <c r="J51" s="93"/>
      <c r="K51" s="94"/>
      <c r="L51" s="95"/>
    </row>
    <row r="52" spans="1:12" ht="18.75">
      <c r="A52" s="72"/>
      <c r="I52" s="92"/>
      <c r="J52" s="93"/>
      <c r="K52" s="94"/>
      <c r="L52" s="95"/>
    </row>
    <row r="53" spans="1:12" ht="18.75">
      <c r="A53" s="72"/>
      <c r="I53" s="92"/>
      <c r="J53" s="93"/>
      <c r="K53" s="94"/>
      <c r="L53" s="95"/>
    </row>
    <row r="54" spans="1:12" ht="18.75">
      <c r="A54" s="72"/>
      <c r="I54" s="92"/>
      <c r="J54" s="93"/>
      <c r="K54" s="94"/>
      <c r="L54" s="95"/>
    </row>
    <row r="55" spans="1:12" ht="18.75">
      <c r="A55" s="74"/>
      <c r="B55" s="75"/>
      <c r="C55" s="75"/>
      <c r="D55" s="75"/>
      <c r="E55" s="75"/>
      <c r="F55" s="75"/>
      <c r="G55" s="26"/>
      <c r="H55" s="75"/>
      <c r="I55" s="96"/>
      <c r="J55" s="97"/>
      <c r="K55" s="98"/>
      <c r="L55" s="99"/>
    </row>
  </sheetData>
  <mergeCells count="32">
    <mergeCell ref="F48:L48"/>
    <mergeCell ref="A46:H46"/>
    <mergeCell ref="A14:A15"/>
    <mergeCell ref="G14:G15"/>
    <mergeCell ref="H14:H15"/>
    <mergeCell ref="I14:I15"/>
    <mergeCell ref="J14:J15"/>
    <mergeCell ref="K14:K15"/>
    <mergeCell ref="L14:L15"/>
    <mergeCell ref="J12:L12"/>
    <mergeCell ref="A13:F13"/>
    <mergeCell ref="G13:I13"/>
    <mergeCell ref="J13:L13"/>
    <mergeCell ref="B14:F14"/>
    <mergeCell ref="B8:I8"/>
    <mergeCell ref="J8:L8"/>
    <mergeCell ref="J9:L9"/>
    <mergeCell ref="J10:L10"/>
    <mergeCell ref="B11:I11"/>
    <mergeCell ref="J11:L11"/>
    <mergeCell ref="B9:I10"/>
    <mergeCell ref="J4:L4"/>
    <mergeCell ref="J5:L5"/>
    <mergeCell ref="J6:L6"/>
    <mergeCell ref="A7:B7"/>
    <mergeCell ref="J7:L7"/>
    <mergeCell ref="B4:I5"/>
    <mergeCell ref="A1:L1"/>
    <mergeCell ref="A2:B2"/>
    <mergeCell ref="J2:L2"/>
    <mergeCell ref="B3:I3"/>
    <mergeCell ref="J3:L3"/>
  </mergeCells>
  <printOptions horizontalCentered="1"/>
  <pageMargins left="0.25" right="0.25" top="0.75" bottom="0.75" header="0.29861111111111099" footer="0.29861111111111099"/>
  <pageSetup paperSize="9" scale="52" orientation="portrait" r:id="rId1"/>
  <headerFooter>
    <oddFooter>&amp;C&amp;P/&amp;N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K51"/>
  <sheetViews>
    <sheetView topLeftCell="A32" workbookViewId="0">
      <selection activeCell="H30" sqref="H30"/>
    </sheetView>
  </sheetViews>
  <sheetFormatPr defaultColWidth="9" defaultRowHeight="13.5"/>
  <cols>
    <col min="1" max="1" width="5.140625" style="1" customWidth="1"/>
    <col min="2" max="2" width="17" style="1" customWidth="1"/>
    <col min="3" max="3" width="8.42578125" style="1" customWidth="1"/>
    <col min="4" max="4" width="19.85546875" style="1" customWidth="1"/>
    <col min="5" max="5" width="45.28515625" style="1" customWidth="1"/>
    <col min="6" max="6" width="11.85546875" style="3" customWidth="1"/>
    <col min="7" max="7" width="9.140625" style="3" customWidth="1"/>
    <col min="8" max="8" width="15.140625" style="4" customWidth="1"/>
    <col min="9" max="9" width="13.28515625" style="5" customWidth="1"/>
    <col min="10" max="10" width="10.7109375" style="5" customWidth="1"/>
    <col min="11" max="11" width="4.42578125" style="6" customWidth="1"/>
    <col min="12" max="16384" width="9" style="1"/>
  </cols>
  <sheetData>
    <row r="1" spans="1:11" ht="37.5" customHeight="1">
      <c r="A1" s="258" t="s">
        <v>135</v>
      </c>
      <c r="B1" s="259"/>
      <c r="C1" s="259"/>
      <c r="D1" s="259"/>
      <c r="E1" s="259"/>
      <c r="F1" s="259"/>
      <c r="G1" s="259"/>
      <c r="H1" s="260"/>
      <c r="I1" s="261"/>
      <c r="J1" s="261"/>
      <c r="K1" s="262"/>
    </row>
    <row r="2" spans="1:11" ht="20.100000000000001" customHeight="1">
      <c r="A2" s="263" t="s">
        <v>8</v>
      </c>
      <c r="B2" s="264"/>
      <c r="C2" s="264"/>
      <c r="D2" s="264"/>
      <c r="E2" s="264"/>
      <c r="F2" s="264"/>
      <c r="G2" s="264"/>
      <c r="H2" s="7" t="str">
        <f>'Invoice '!J2</f>
        <v>INVOICE NO:MPT250084</v>
      </c>
      <c r="I2" s="28"/>
      <c r="J2" s="28"/>
      <c r="K2" s="29"/>
    </row>
    <row r="3" spans="1:11" ht="20.100000000000001" customHeight="1">
      <c r="A3" s="8"/>
      <c r="B3" s="265" t="str">
        <f>'Invoice '!B3</f>
        <v>NAME:MOONPO TRADING(SHENZHEN)CO.,LTD</v>
      </c>
      <c r="C3" s="265"/>
      <c r="D3" s="265"/>
      <c r="E3" s="265"/>
      <c r="F3" s="265"/>
      <c r="G3" s="265"/>
      <c r="H3" s="9" t="str">
        <f>'Invoice '!J3</f>
        <v>INVOICE DATE:2025-12-11</v>
      </c>
      <c r="I3" s="30"/>
      <c r="J3" s="30"/>
      <c r="K3" s="31"/>
    </row>
    <row r="4" spans="1:11" ht="20.100000000000001" customHeight="1">
      <c r="A4" s="8"/>
      <c r="B4" s="267" t="s">
        <v>10</v>
      </c>
      <c r="C4" s="267"/>
      <c r="D4" s="267"/>
      <c r="E4" s="267"/>
      <c r="F4" s="267"/>
      <c r="G4" s="267"/>
      <c r="H4" s="9" t="str">
        <f>'Invoice '!J4</f>
        <v>PO NO：Below list</v>
      </c>
      <c r="I4" s="32"/>
      <c r="J4" s="32"/>
      <c r="K4" s="33"/>
    </row>
    <row r="5" spans="1:11" ht="20.100000000000001" customHeight="1">
      <c r="A5" s="8"/>
      <c r="B5" s="267"/>
      <c r="C5" s="267"/>
      <c r="D5" s="267"/>
      <c r="E5" s="267"/>
      <c r="F5" s="267"/>
      <c r="G5" s="267"/>
      <c r="H5" s="9" t="str">
        <f>'Invoice '!J5</f>
        <v>PAYMENT TERMS: TT</v>
      </c>
      <c r="I5" s="30"/>
      <c r="J5" s="30"/>
      <c r="K5" s="31"/>
    </row>
    <row r="6" spans="1:11" ht="21.75" customHeight="1">
      <c r="A6" s="10"/>
      <c r="B6" s="266" t="str">
        <f>'Invoice '!B6</f>
        <v>TELL: 0755-29698989</v>
      </c>
      <c r="C6" s="266"/>
      <c r="D6" s="266"/>
      <c r="E6" s="266"/>
      <c r="F6" s="266"/>
      <c r="G6" s="266"/>
      <c r="H6" s="9" t="str">
        <f>'Invoice '!J6</f>
        <v>DELIVERY TERMS:C&amp;F HAIPHONG</v>
      </c>
      <c r="I6" s="30"/>
      <c r="J6" s="30"/>
      <c r="K6" s="31"/>
    </row>
    <row r="7" spans="1:11" ht="20.100000000000001" customHeight="1">
      <c r="A7" s="263" t="s">
        <v>3</v>
      </c>
      <c r="B7" s="264"/>
      <c r="C7" s="264"/>
      <c r="D7" s="264"/>
      <c r="E7" s="264"/>
      <c r="F7" s="264"/>
      <c r="G7" s="264"/>
      <c r="H7" s="9" t="str">
        <f>'Invoice '!J7</f>
        <v>PORT OF LOADING:SHEKOU</v>
      </c>
      <c r="I7" s="30"/>
      <c r="J7" s="30"/>
      <c r="K7" s="31"/>
    </row>
    <row r="8" spans="1:11" ht="20.100000000000001" customHeight="1">
      <c r="A8" s="8"/>
      <c r="B8" s="265" t="str">
        <f>'Invoice '!B8</f>
        <v>NAME: MOONPO DEVELOPMENT(VIETNAM) LIMITED</v>
      </c>
      <c r="C8" s="265"/>
      <c r="D8" s="265"/>
      <c r="E8" s="265"/>
      <c r="F8" s="265"/>
      <c r="G8" s="265"/>
      <c r="H8" s="9" t="str">
        <f>'Invoice '!J8</f>
        <v>PORT OF DISCHARGE: HAIPHONG</v>
      </c>
      <c r="I8" s="30"/>
      <c r="J8" s="30"/>
      <c r="K8" s="31"/>
    </row>
    <row r="9" spans="1:11" ht="20.100000000000001" customHeight="1">
      <c r="A9" s="8"/>
      <c r="B9" s="267" t="str">
        <f>'Invoice '!B9</f>
        <v>ADDRESS: LOT CN-01，DONG VAN IV INDUSTRIAL ZONE,LE HO WARD,NINH BINH PROVINCE, VIETNAM</v>
      </c>
      <c r="C9" s="267"/>
      <c r="D9" s="267"/>
      <c r="E9" s="267"/>
      <c r="F9" s="267"/>
      <c r="G9" s="267"/>
      <c r="H9" s="9" t="str">
        <f>'Invoice '!J9</f>
        <v>PORT OF TRANSIT:</v>
      </c>
      <c r="I9" s="30"/>
      <c r="J9" s="30"/>
      <c r="K9" s="31"/>
    </row>
    <row r="10" spans="1:11" ht="27.75" customHeight="1">
      <c r="A10" s="8"/>
      <c r="B10" s="267"/>
      <c r="C10" s="267"/>
      <c r="D10" s="267"/>
      <c r="E10" s="267"/>
      <c r="F10" s="267"/>
      <c r="G10" s="267"/>
      <c r="H10" s="9" t="str">
        <f>'Invoice '!J10</f>
        <v>ETD POL:2025-12-18</v>
      </c>
      <c r="I10" s="30"/>
      <c r="J10" s="30"/>
      <c r="K10" s="31"/>
    </row>
    <row r="11" spans="1:11" ht="20.100000000000001" customHeight="1">
      <c r="A11" s="8"/>
      <c r="B11" s="266" t="str">
        <f>'Invoice '!B11</f>
        <v>TAX NUMBER: 0700834811</v>
      </c>
      <c r="C11" s="266"/>
      <c r="D11" s="266"/>
      <c r="E11" s="266"/>
      <c r="F11" s="266"/>
      <c r="G11" s="266"/>
      <c r="H11" s="9" t="str">
        <f>'Invoice '!J11</f>
        <v>ETA POD:2025-12-20</v>
      </c>
      <c r="I11" s="30"/>
      <c r="J11" s="30"/>
      <c r="K11" s="31"/>
    </row>
    <row r="12" spans="1:11" ht="20.100000000000001" customHeight="1">
      <c r="A12" s="8"/>
      <c r="B12" s="266" t="str">
        <f>'Invoice '!B12</f>
        <v>TELL:(+84) 9885 16638, Email: ltlien@moonpo.com</v>
      </c>
      <c r="C12" s="266"/>
      <c r="D12" s="266"/>
      <c r="E12" s="266"/>
      <c r="F12" s="266"/>
      <c r="G12" s="266"/>
      <c r="H12" s="11"/>
      <c r="I12" s="34"/>
      <c r="J12" s="34"/>
      <c r="K12" s="35"/>
    </row>
    <row r="13" spans="1:11" ht="23.1" customHeight="1">
      <c r="A13" s="268" t="s">
        <v>92</v>
      </c>
      <c r="B13" s="269"/>
      <c r="C13" s="269"/>
      <c r="D13" s="269"/>
      <c r="E13" s="269"/>
      <c r="F13" s="269"/>
      <c r="G13" s="270"/>
      <c r="H13" s="271"/>
      <c r="I13" s="272"/>
      <c r="J13" s="272"/>
      <c r="K13" s="273"/>
    </row>
    <row r="14" spans="1:11" ht="19.5" customHeight="1">
      <c r="A14" s="282" t="s">
        <v>12</v>
      </c>
      <c r="B14" s="274" t="s">
        <v>93</v>
      </c>
      <c r="C14" s="275"/>
      <c r="D14" s="275"/>
      <c r="E14" s="276"/>
      <c r="F14" s="284" t="s">
        <v>136</v>
      </c>
      <c r="G14" s="286" t="s">
        <v>15</v>
      </c>
      <c r="H14" s="286" t="s">
        <v>137</v>
      </c>
      <c r="I14" s="287" t="s">
        <v>138</v>
      </c>
      <c r="J14" s="287" t="s">
        <v>139</v>
      </c>
      <c r="K14" s="289" t="s">
        <v>140</v>
      </c>
    </row>
    <row r="15" spans="1:11" ht="30.95" customHeight="1">
      <c r="A15" s="283"/>
      <c r="B15" s="12" t="s">
        <v>96</v>
      </c>
      <c r="C15" s="13" t="s">
        <v>97</v>
      </c>
      <c r="D15" s="12" t="s">
        <v>98</v>
      </c>
      <c r="E15" s="13" t="s">
        <v>20</v>
      </c>
      <c r="F15" s="285"/>
      <c r="G15" s="285"/>
      <c r="H15" s="285"/>
      <c r="I15" s="288"/>
      <c r="J15" s="288"/>
      <c r="K15" s="290"/>
    </row>
    <row r="16" spans="1:11" ht="24" customHeight="1">
      <c r="A16" s="14">
        <v>1</v>
      </c>
      <c r="B16" s="15" t="s">
        <v>100</v>
      </c>
      <c r="C16" s="16">
        <v>1</v>
      </c>
      <c r="D16" s="16" t="s">
        <v>21</v>
      </c>
      <c r="E16" s="16" t="s">
        <v>22</v>
      </c>
      <c r="F16" s="16">
        <v>1</v>
      </c>
      <c r="G16" s="16" t="s">
        <v>23</v>
      </c>
      <c r="H16" s="17" t="s">
        <v>141</v>
      </c>
      <c r="I16" s="36">
        <v>240</v>
      </c>
      <c r="J16" s="36">
        <v>237.51</v>
      </c>
      <c r="K16" s="37"/>
    </row>
    <row r="17" spans="1:11" ht="24" customHeight="1">
      <c r="A17" s="14">
        <v>2</v>
      </c>
      <c r="B17" s="15" t="s">
        <v>102</v>
      </c>
      <c r="C17" s="16">
        <v>7</v>
      </c>
      <c r="D17" s="16" t="s">
        <v>35</v>
      </c>
      <c r="E17" s="16" t="s">
        <v>36</v>
      </c>
      <c r="F17" s="16">
        <v>1</v>
      </c>
      <c r="G17" s="16" t="s">
        <v>23</v>
      </c>
      <c r="H17" s="17" t="s">
        <v>141</v>
      </c>
      <c r="I17" s="36">
        <v>0</v>
      </c>
      <c r="J17" s="36">
        <v>0.28000000000000003</v>
      </c>
      <c r="K17" s="37"/>
    </row>
    <row r="18" spans="1:11" ht="24" customHeight="1">
      <c r="A18" s="14">
        <v>3</v>
      </c>
      <c r="B18" s="15" t="s">
        <v>104</v>
      </c>
      <c r="C18" s="16">
        <v>1</v>
      </c>
      <c r="D18" s="16" t="s">
        <v>38</v>
      </c>
      <c r="E18" s="16" t="s">
        <v>39</v>
      </c>
      <c r="F18" s="16">
        <v>1</v>
      </c>
      <c r="G18" s="16" t="s">
        <v>40</v>
      </c>
      <c r="H18" s="17" t="s">
        <v>142</v>
      </c>
      <c r="I18" s="36">
        <v>18</v>
      </c>
      <c r="J18" s="36">
        <v>1.4</v>
      </c>
      <c r="K18" s="37"/>
    </row>
    <row r="19" spans="1:11" ht="24" customHeight="1">
      <c r="A19" s="14"/>
      <c r="B19" s="15" t="s">
        <v>104</v>
      </c>
      <c r="C19" s="16">
        <v>2</v>
      </c>
      <c r="D19" s="16" t="s">
        <v>41</v>
      </c>
      <c r="E19" s="16" t="s">
        <v>39</v>
      </c>
      <c r="F19" s="16">
        <v>6</v>
      </c>
      <c r="G19" s="16" t="s">
        <v>40</v>
      </c>
      <c r="H19" s="17" t="s">
        <v>142</v>
      </c>
      <c r="I19" s="36">
        <v>0</v>
      </c>
      <c r="J19" s="36">
        <v>12</v>
      </c>
      <c r="K19" s="37"/>
    </row>
    <row r="20" spans="1:11" ht="24" customHeight="1">
      <c r="A20" s="14"/>
      <c r="B20" s="15" t="s">
        <v>104</v>
      </c>
      <c r="C20" s="16">
        <v>3</v>
      </c>
      <c r="D20" s="16" t="s">
        <v>42</v>
      </c>
      <c r="E20" s="16" t="s">
        <v>43</v>
      </c>
      <c r="F20" s="16">
        <v>15</v>
      </c>
      <c r="G20" s="16" t="s">
        <v>44</v>
      </c>
      <c r="H20" s="17" t="s">
        <v>142</v>
      </c>
      <c r="I20" s="36">
        <v>0</v>
      </c>
      <c r="J20" s="36">
        <v>1</v>
      </c>
      <c r="K20" s="37"/>
    </row>
    <row r="21" spans="1:11" ht="24" customHeight="1">
      <c r="A21" s="14"/>
      <c r="B21" s="15" t="s">
        <v>108</v>
      </c>
      <c r="C21" s="16">
        <v>1</v>
      </c>
      <c r="D21" s="16" t="s">
        <v>46</v>
      </c>
      <c r="E21" s="16" t="s">
        <v>47</v>
      </c>
      <c r="F21" s="16">
        <v>4</v>
      </c>
      <c r="G21" s="16" t="s">
        <v>40</v>
      </c>
      <c r="H21" s="17" t="s">
        <v>143</v>
      </c>
      <c r="I21" s="36">
        <v>20.8</v>
      </c>
      <c r="J21" s="36">
        <v>1.92</v>
      </c>
      <c r="K21" s="37"/>
    </row>
    <row r="22" spans="1:11" ht="24" customHeight="1">
      <c r="A22" s="14"/>
      <c r="B22" s="15" t="s">
        <v>108</v>
      </c>
      <c r="C22" s="16">
        <v>2</v>
      </c>
      <c r="D22" s="16" t="s">
        <v>46</v>
      </c>
      <c r="E22" s="16" t="s">
        <v>48</v>
      </c>
      <c r="F22" s="16">
        <v>4</v>
      </c>
      <c r="G22" s="16" t="s">
        <v>40</v>
      </c>
      <c r="H22" s="17" t="s">
        <v>143</v>
      </c>
      <c r="I22" s="36">
        <v>0</v>
      </c>
      <c r="J22" s="36">
        <v>5.72</v>
      </c>
      <c r="K22" s="37"/>
    </row>
    <row r="23" spans="1:11" ht="24" customHeight="1">
      <c r="A23" s="14"/>
      <c r="B23" s="15" t="s">
        <v>108</v>
      </c>
      <c r="C23" s="16">
        <v>3</v>
      </c>
      <c r="D23" s="16" t="s">
        <v>46</v>
      </c>
      <c r="E23" s="16" t="s">
        <v>49</v>
      </c>
      <c r="F23" s="16">
        <v>1</v>
      </c>
      <c r="G23" s="16" t="s">
        <v>40</v>
      </c>
      <c r="H23" s="17" t="s">
        <v>143</v>
      </c>
      <c r="I23" s="36">
        <v>0</v>
      </c>
      <c r="J23" s="36">
        <v>0.42</v>
      </c>
      <c r="K23" s="37"/>
    </row>
    <row r="24" spans="1:11" ht="24" customHeight="1">
      <c r="A24" s="14"/>
      <c r="B24" s="15" t="s">
        <v>108</v>
      </c>
      <c r="C24" s="16">
        <v>4</v>
      </c>
      <c r="D24" s="16" t="s">
        <v>46</v>
      </c>
      <c r="E24" s="16" t="s">
        <v>50</v>
      </c>
      <c r="F24" s="16">
        <v>1</v>
      </c>
      <c r="G24" s="16" t="s">
        <v>40</v>
      </c>
      <c r="H24" s="17" t="s">
        <v>143</v>
      </c>
      <c r="I24" s="36">
        <v>0</v>
      </c>
      <c r="J24" s="36">
        <v>6.86</v>
      </c>
      <c r="K24" s="37"/>
    </row>
    <row r="25" spans="1:11" ht="24" customHeight="1">
      <c r="A25" s="14"/>
      <c r="B25" s="15" t="s">
        <v>108</v>
      </c>
      <c r="C25" s="16">
        <v>5</v>
      </c>
      <c r="D25" s="16" t="s">
        <v>46</v>
      </c>
      <c r="E25" s="16" t="s">
        <v>51</v>
      </c>
      <c r="F25" s="16">
        <v>1</v>
      </c>
      <c r="G25" s="16" t="s">
        <v>40</v>
      </c>
      <c r="H25" s="17" t="s">
        <v>143</v>
      </c>
      <c r="I25" s="36">
        <v>0</v>
      </c>
      <c r="J25" s="36">
        <v>1.04</v>
      </c>
      <c r="K25" s="37"/>
    </row>
    <row r="26" spans="1:11" ht="24" customHeight="1">
      <c r="A26" s="14"/>
      <c r="B26" s="15" t="s">
        <v>108</v>
      </c>
      <c r="C26" s="16">
        <v>6</v>
      </c>
      <c r="D26" s="16" t="s">
        <v>52</v>
      </c>
      <c r="E26" s="16" t="s">
        <v>53</v>
      </c>
      <c r="F26" s="16">
        <v>1</v>
      </c>
      <c r="G26" s="16" t="s">
        <v>40</v>
      </c>
      <c r="H26" s="17" t="s">
        <v>143</v>
      </c>
      <c r="I26" s="36">
        <v>0</v>
      </c>
      <c r="J26" s="36">
        <v>0.7</v>
      </c>
      <c r="K26" s="37"/>
    </row>
    <row r="27" spans="1:11" ht="24" customHeight="1">
      <c r="A27" s="14"/>
      <c r="B27" s="15" t="s">
        <v>108</v>
      </c>
      <c r="C27" s="16">
        <v>7</v>
      </c>
      <c r="D27" s="16" t="s">
        <v>52</v>
      </c>
      <c r="E27" s="16" t="s">
        <v>54</v>
      </c>
      <c r="F27" s="16">
        <v>2</v>
      </c>
      <c r="G27" s="16" t="s">
        <v>40</v>
      </c>
      <c r="H27" s="17" t="s">
        <v>143</v>
      </c>
      <c r="I27" s="36">
        <v>0</v>
      </c>
      <c r="J27" s="36">
        <v>1</v>
      </c>
      <c r="K27" s="37"/>
    </row>
    <row r="28" spans="1:11" ht="24" customHeight="1">
      <c r="A28" s="14"/>
      <c r="B28" s="15" t="s">
        <v>108</v>
      </c>
      <c r="C28" s="16">
        <v>8</v>
      </c>
      <c r="D28" s="16" t="s">
        <v>52</v>
      </c>
      <c r="E28" s="16" t="s">
        <v>55</v>
      </c>
      <c r="F28" s="16">
        <v>1</v>
      </c>
      <c r="G28" s="16" t="s">
        <v>40</v>
      </c>
      <c r="H28" s="17" t="s">
        <v>143</v>
      </c>
      <c r="I28" s="36">
        <v>0</v>
      </c>
      <c r="J28" s="36">
        <v>0.1</v>
      </c>
      <c r="K28" s="37"/>
    </row>
    <row r="29" spans="1:11" ht="24" customHeight="1">
      <c r="A29" s="14"/>
      <c r="B29" s="15" t="s">
        <v>108</v>
      </c>
      <c r="C29" s="16">
        <v>9</v>
      </c>
      <c r="D29" s="16" t="s">
        <v>52</v>
      </c>
      <c r="E29" s="16" t="s">
        <v>56</v>
      </c>
      <c r="F29" s="16">
        <v>1</v>
      </c>
      <c r="G29" s="16" t="s">
        <v>40</v>
      </c>
      <c r="H29" s="17" t="s">
        <v>143</v>
      </c>
      <c r="I29" s="36">
        <v>0</v>
      </c>
      <c r="J29" s="36">
        <v>2.54</v>
      </c>
      <c r="K29" s="37"/>
    </row>
    <row r="30" spans="1:11" ht="24" customHeight="1">
      <c r="A30" s="14"/>
      <c r="B30" s="15" t="s">
        <v>108</v>
      </c>
      <c r="C30" s="16">
        <v>10</v>
      </c>
      <c r="D30" s="16" t="s">
        <v>52</v>
      </c>
      <c r="E30" s="16" t="s">
        <v>57</v>
      </c>
      <c r="F30" s="16">
        <v>1</v>
      </c>
      <c r="G30" s="16" t="s">
        <v>40</v>
      </c>
      <c r="H30" s="17" t="s">
        <v>144</v>
      </c>
      <c r="I30" s="36">
        <v>18.5</v>
      </c>
      <c r="J30" s="36">
        <v>0.4</v>
      </c>
      <c r="K30" s="37"/>
    </row>
    <row r="31" spans="1:11" ht="24" customHeight="1">
      <c r="A31" s="14"/>
      <c r="B31" s="15" t="s">
        <v>108</v>
      </c>
      <c r="C31" s="16">
        <v>11</v>
      </c>
      <c r="D31" s="16" t="s">
        <v>52</v>
      </c>
      <c r="E31" s="16" t="s">
        <v>58</v>
      </c>
      <c r="F31" s="16">
        <v>1</v>
      </c>
      <c r="G31" s="16" t="s">
        <v>40</v>
      </c>
      <c r="H31" s="17" t="s">
        <v>144</v>
      </c>
      <c r="I31" s="36">
        <v>0</v>
      </c>
      <c r="J31" s="36">
        <v>0.65</v>
      </c>
      <c r="K31" s="37"/>
    </row>
    <row r="32" spans="1:11" ht="24" customHeight="1">
      <c r="A32" s="14"/>
      <c r="B32" s="15" t="s">
        <v>108</v>
      </c>
      <c r="C32" s="16">
        <v>12</v>
      </c>
      <c r="D32" s="16" t="s">
        <v>52</v>
      </c>
      <c r="E32" s="16" t="s">
        <v>59</v>
      </c>
      <c r="F32" s="16">
        <v>1</v>
      </c>
      <c r="G32" s="16" t="s">
        <v>40</v>
      </c>
      <c r="H32" s="17" t="s">
        <v>144</v>
      </c>
      <c r="I32" s="36">
        <v>0</v>
      </c>
      <c r="J32" s="36">
        <v>0.3</v>
      </c>
      <c r="K32" s="37"/>
    </row>
    <row r="33" spans="1:11" ht="24" customHeight="1">
      <c r="A33" s="14"/>
      <c r="B33" s="15" t="s">
        <v>108</v>
      </c>
      <c r="C33" s="16">
        <v>13</v>
      </c>
      <c r="D33" s="16" t="s">
        <v>52</v>
      </c>
      <c r="E33" s="16" t="s">
        <v>60</v>
      </c>
      <c r="F33" s="16">
        <v>1</v>
      </c>
      <c r="G33" s="16" t="s">
        <v>40</v>
      </c>
      <c r="H33" s="17" t="s">
        <v>144</v>
      </c>
      <c r="I33" s="36">
        <v>0</v>
      </c>
      <c r="J33" s="36">
        <v>0.31</v>
      </c>
      <c r="K33" s="37"/>
    </row>
    <row r="34" spans="1:11" ht="24" customHeight="1">
      <c r="A34" s="14"/>
      <c r="B34" s="15" t="s">
        <v>108</v>
      </c>
      <c r="C34" s="16">
        <v>14</v>
      </c>
      <c r="D34" s="16" t="s">
        <v>52</v>
      </c>
      <c r="E34" s="16" t="s">
        <v>61</v>
      </c>
      <c r="F34" s="16">
        <v>1</v>
      </c>
      <c r="G34" s="16" t="s">
        <v>40</v>
      </c>
      <c r="H34" s="17" t="s">
        <v>144</v>
      </c>
      <c r="I34" s="36">
        <v>0</v>
      </c>
      <c r="J34" s="36">
        <v>0.35</v>
      </c>
      <c r="K34" s="37"/>
    </row>
    <row r="35" spans="1:11" ht="24" customHeight="1">
      <c r="A35" s="14"/>
      <c r="B35" s="15" t="s">
        <v>108</v>
      </c>
      <c r="C35" s="16">
        <v>15</v>
      </c>
      <c r="D35" s="16" t="s">
        <v>52</v>
      </c>
      <c r="E35" s="16" t="s">
        <v>62</v>
      </c>
      <c r="F35" s="16">
        <v>2</v>
      </c>
      <c r="G35" s="16" t="s">
        <v>40</v>
      </c>
      <c r="H35" s="17" t="s">
        <v>144</v>
      </c>
      <c r="I35" s="36">
        <v>0</v>
      </c>
      <c r="J35" s="36">
        <v>4.4800000000000004</v>
      </c>
      <c r="K35" s="37"/>
    </row>
    <row r="36" spans="1:11" ht="24" customHeight="1">
      <c r="A36" s="14"/>
      <c r="B36" s="15" t="s">
        <v>108</v>
      </c>
      <c r="C36" s="16">
        <v>16</v>
      </c>
      <c r="D36" s="16" t="s">
        <v>52</v>
      </c>
      <c r="E36" s="16" t="s">
        <v>63</v>
      </c>
      <c r="F36" s="16">
        <v>1</v>
      </c>
      <c r="G36" s="16" t="s">
        <v>40</v>
      </c>
      <c r="H36" s="17" t="s">
        <v>144</v>
      </c>
      <c r="I36" s="36">
        <v>0</v>
      </c>
      <c r="J36" s="36">
        <v>0.43</v>
      </c>
      <c r="K36" s="37"/>
    </row>
    <row r="37" spans="1:11" ht="24" customHeight="1">
      <c r="A37" s="14"/>
      <c r="B37" s="15" t="s">
        <v>108</v>
      </c>
      <c r="C37" s="16">
        <v>17</v>
      </c>
      <c r="D37" s="16" t="s">
        <v>52</v>
      </c>
      <c r="E37" s="16" t="s">
        <v>64</v>
      </c>
      <c r="F37" s="16">
        <v>2</v>
      </c>
      <c r="G37" s="16" t="s">
        <v>40</v>
      </c>
      <c r="H37" s="17" t="s">
        <v>144</v>
      </c>
      <c r="I37" s="36">
        <v>0</v>
      </c>
      <c r="J37" s="36">
        <v>1.24</v>
      </c>
      <c r="K37" s="37"/>
    </row>
    <row r="38" spans="1:11" ht="24" customHeight="1">
      <c r="A38" s="14"/>
      <c r="B38" s="15" t="s">
        <v>108</v>
      </c>
      <c r="C38" s="16">
        <v>18</v>
      </c>
      <c r="D38" s="16" t="s">
        <v>52</v>
      </c>
      <c r="E38" s="16" t="s">
        <v>65</v>
      </c>
      <c r="F38" s="16">
        <v>2</v>
      </c>
      <c r="G38" s="16" t="s">
        <v>40</v>
      </c>
      <c r="H38" s="17" t="s">
        <v>144</v>
      </c>
      <c r="I38" s="36">
        <v>0</v>
      </c>
      <c r="J38" s="36">
        <v>1.24</v>
      </c>
      <c r="K38" s="37"/>
    </row>
    <row r="39" spans="1:11" ht="24" customHeight="1">
      <c r="A39" s="14"/>
      <c r="B39" s="15" t="s">
        <v>108</v>
      </c>
      <c r="C39" s="16">
        <v>19</v>
      </c>
      <c r="D39" s="16" t="s">
        <v>52</v>
      </c>
      <c r="E39" s="16" t="s">
        <v>66</v>
      </c>
      <c r="F39" s="16">
        <v>1</v>
      </c>
      <c r="G39" s="16" t="s">
        <v>40</v>
      </c>
      <c r="H39" s="17" t="s">
        <v>144</v>
      </c>
      <c r="I39" s="36">
        <v>0</v>
      </c>
      <c r="J39" s="36">
        <v>0.3</v>
      </c>
      <c r="K39" s="37"/>
    </row>
    <row r="40" spans="1:11" ht="24" customHeight="1">
      <c r="A40" s="14"/>
      <c r="B40" s="15" t="s">
        <v>108</v>
      </c>
      <c r="C40" s="16">
        <v>20</v>
      </c>
      <c r="D40" s="16" t="s">
        <v>52</v>
      </c>
      <c r="E40" s="16" t="s">
        <v>67</v>
      </c>
      <c r="F40" s="16">
        <v>3</v>
      </c>
      <c r="G40" s="16" t="s">
        <v>40</v>
      </c>
      <c r="H40" s="17" t="s">
        <v>144</v>
      </c>
      <c r="I40" s="36">
        <v>0</v>
      </c>
      <c r="J40" s="36">
        <v>1.29</v>
      </c>
      <c r="K40" s="37"/>
    </row>
    <row r="41" spans="1:11" ht="24" customHeight="1">
      <c r="A41" s="14"/>
      <c r="B41" s="15" t="s">
        <v>108</v>
      </c>
      <c r="C41" s="16">
        <v>21</v>
      </c>
      <c r="D41" s="16" t="s">
        <v>52</v>
      </c>
      <c r="E41" s="16" t="s">
        <v>68</v>
      </c>
      <c r="F41" s="16" t="s">
        <v>148</v>
      </c>
      <c r="G41" s="16" t="s">
        <v>40</v>
      </c>
      <c r="H41" s="17" t="s">
        <v>144</v>
      </c>
      <c r="I41" s="36">
        <v>0</v>
      </c>
      <c r="J41" s="36">
        <v>2.56</v>
      </c>
      <c r="K41" s="37"/>
    </row>
    <row r="42" spans="1:11" ht="24" customHeight="1">
      <c r="A42" s="14"/>
      <c r="B42" s="15" t="s">
        <v>108</v>
      </c>
      <c r="C42" s="16">
        <v>22</v>
      </c>
      <c r="D42" s="16" t="s">
        <v>52</v>
      </c>
      <c r="E42" s="16" t="s">
        <v>69</v>
      </c>
      <c r="F42" s="16">
        <v>1</v>
      </c>
      <c r="G42" s="16" t="s">
        <v>40</v>
      </c>
      <c r="H42" s="17" t="s">
        <v>144</v>
      </c>
      <c r="I42" s="36">
        <v>0</v>
      </c>
      <c r="J42" s="36">
        <v>0.43</v>
      </c>
      <c r="K42" s="37"/>
    </row>
    <row r="43" spans="1:11" ht="24" customHeight="1">
      <c r="A43" s="14"/>
      <c r="B43" s="15" t="s">
        <v>108</v>
      </c>
      <c r="C43" s="16">
        <v>23</v>
      </c>
      <c r="D43" s="16" t="s">
        <v>52</v>
      </c>
      <c r="E43" s="16" t="s">
        <v>70</v>
      </c>
      <c r="F43" s="16">
        <v>1</v>
      </c>
      <c r="G43" s="16" t="s">
        <v>40</v>
      </c>
      <c r="H43" s="17" t="s">
        <v>144</v>
      </c>
      <c r="I43" s="36">
        <v>0</v>
      </c>
      <c r="J43" s="36">
        <v>3.68</v>
      </c>
      <c r="K43" s="37"/>
    </row>
    <row r="44" spans="1:11" ht="24" customHeight="1">
      <c r="A44" s="14"/>
      <c r="B44" s="15" t="s">
        <v>108</v>
      </c>
      <c r="C44" s="16">
        <v>24</v>
      </c>
      <c r="D44" s="16" t="s">
        <v>71</v>
      </c>
      <c r="E44" s="16" t="s">
        <v>72</v>
      </c>
      <c r="F44" s="16">
        <v>3</v>
      </c>
      <c r="G44" s="16" t="s">
        <v>40</v>
      </c>
      <c r="H44" s="17" t="s">
        <v>145</v>
      </c>
      <c r="I44" s="36">
        <v>21.61</v>
      </c>
      <c r="J44" s="36">
        <v>20.61</v>
      </c>
      <c r="K44" s="37"/>
    </row>
    <row r="45" spans="1:11" ht="24" customHeight="1">
      <c r="A45" s="14">
        <v>4</v>
      </c>
      <c r="B45" s="15" t="s">
        <v>108</v>
      </c>
      <c r="C45" s="16">
        <v>25</v>
      </c>
      <c r="D45" s="16" t="s">
        <v>73</v>
      </c>
      <c r="E45" s="16" t="s">
        <v>74</v>
      </c>
      <c r="F45" s="16">
        <v>1</v>
      </c>
      <c r="G45" s="16" t="s">
        <v>40</v>
      </c>
      <c r="H45" s="17" t="s">
        <v>146</v>
      </c>
      <c r="I45" s="36">
        <v>1.1000000000000001</v>
      </c>
      <c r="J45" s="36">
        <v>0.6</v>
      </c>
      <c r="K45" s="37"/>
    </row>
    <row r="46" spans="1:11" s="2" customFormat="1" ht="21.95" customHeight="1">
      <c r="A46" s="277" t="s">
        <v>134</v>
      </c>
      <c r="B46" s="278"/>
      <c r="C46" s="278"/>
      <c r="D46" s="278"/>
      <c r="E46" s="278"/>
      <c r="F46" s="18">
        <f>SUM(F16:F45)</f>
        <v>62</v>
      </c>
      <c r="G46" s="19"/>
      <c r="H46" s="19"/>
      <c r="I46" s="38">
        <f>SUM(I16:I45)</f>
        <v>320.01000000000005</v>
      </c>
      <c r="J46" s="38">
        <f>SUM(J16:J45)</f>
        <v>311.36000000000018</v>
      </c>
      <c r="K46" s="39"/>
    </row>
    <row r="47" spans="1:11" ht="18" customHeight="1">
      <c r="A47" s="20" t="s">
        <v>147</v>
      </c>
      <c r="G47" s="21"/>
      <c r="H47" s="22"/>
      <c r="I47" s="40"/>
      <c r="J47" s="40"/>
      <c r="K47" s="41"/>
    </row>
    <row r="48" spans="1:11" ht="18" customHeight="1">
      <c r="A48" s="23"/>
      <c r="E48" s="1" t="s">
        <v>148</v>
      </c>
      <c r="F48" s="279" t="s">
        <v>9</v>
      </c>
      <c r="G48" s="279"/>
      <c r="H48" s="279"/>
      <c r="I48" s="280"/>
      <c r="J48" s="280"/>
      <c r="K48" s="281"/>
    </row>
    <row r="49" spans="1:11">
      <c r="A49" s="23"/>
      <c r="K49" s="42"/>
    </row>
    <row r="50" spans="1:11">
      <c r="A50" s="23"/>
      <c r="K50" s="42"/>
    </row>
    <row r="51" spans="1:11">
      <c r="A51" s="24"/>
      <c r="B51" s="25"/>
      <c r="C51" s="25"/>
      <c r="D51" s="25"/>
      <c r="F51" s="26"/>
      <c r="G51" s="26"/>
      <c r="H51" s="27"/>
      <c r="I51" s="43"/>
      <c r="J51" s="43"/>
      <c r="K51" s="44"/>
    </row>
  </sheetData>
  <autoFilter ref="A1:K48" xr:uid="{00000000-0009-0000-0000-000005000000}"/>
  <mergeCells count="22">
    <mergeCell ref="B14:E14"/>
    <mergeCell ref="A46:E46"/>
    <mergeCell ref="F48:K48"/>
    <mergeCell ref="A14:A15"/>
    <mergeCell ref="F14:F15"/>
    <mergeCell ref="G14:G15"/>
    <mergeCell ref="H14:H15"/>
    <mergeCell ref="I14:I15"/>
    <mergeCell ref="J14:J15"/>
    <mergeCell ref="K14:K15"/>
    <mergeCell ref="B8:G8"/>
    <mergeCell ref="B11:G11"/>
    <mergeCell ref="B12:G12"/>
    <mergeCell ref="A13:F13"/>
    <mergeCell ref="G13:K13"/>
    <mergeCell ref="B9:G10"/>
    <mergeCell ref="A1:K1"/>
    <mergeCell ref="A2:G2"/>
    <mergeCell ref="B3:G3"/>
    <mergeCell ref="B6:G6"/>
    <mergeCell ref="A7:G7"/>
    <mergeCell ref="B4:G5"/>
  </mergeCells>
  <pageMargins left="0.25138888888888899" right="0.25138888888888899" top="0.16111111111111101" bottom="0.16111111111111101" header="0.29861111111111099" footer="0.29861111111111099"/>
  <pageSetup paperSize="9" scale="86" orientation="landscape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MPVN2025072-25019</vt:lpstr>
      <vt:lpstr>251139-1116</vt:lpstr>
      <vt:lpstr>251046-1115</vt:lpstr>
      <vt:lpstr>251143-1115</vt:lpstr>
      <vt:lpstr>Invoice </vt:lpstr>
      <vt:lpstr>Packing list </vt:lpstr>
      <vt:lpstr>'Invoice '!Print_Area</vt:lpstr>
      <vt:lpstr>'Packing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msoff20220701</cp:lastModifiedBy>
  <cp:lastPrinted>2026-01-06T08:44:34Z</cp:lastPrinted>
  <dcterms:created xsi:type="dcterms:W3CDTF">2019-11-05T02:26:00Z</dcterms:created>
  <dcterms:modified xsi:type="dcterms:W3CDTF">2026-01-06T08:44:37Z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D3A1F42C647040139774E5E1F6F118B3</vt:lpwstr>
  </property>
</Properties>
</file>