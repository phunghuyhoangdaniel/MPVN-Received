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405" sheetId="11" r:id="rId1"/>
  </sheets>
  <definedNames>
    <definedName name="_xlnm._FilterDatabase" localSheetId="0" hidden="1">M20260405!$A$1:$AF$3</definedName>
  </definedNames>
  <calcPr calcId="144525" concurrentCalc="0"/>
</workbook>
</file>

<file path=xl/sharedStrings.xml><?xml version="1.0" encoding="utf-8"?>
<sst xmlns="http://schemas.openxmlformats.org/spreadsheetml/2006/main" count="50" uniqueCount="46">
  <si>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</si>
  <si>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</si>
  <si>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</si>
  <si>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</si>
  <si>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</si>
  <si>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</si>
  <si>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</si>
  <si>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</si>
  <si>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</si>
  <si>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</si>
  <si>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</si>
  <si>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</si>
  <si>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</si>
  <si>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</si>
  <si>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</si>
  <si>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</si>
  <si>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</si>
  <si>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</si>
  <si>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</si>
  <si>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</si>
  <si>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</si>
  <si>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</si>
  <si>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</si>
  <si>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</si>
  <si>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</si>
  <si>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</si>
  <si>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</si>
  <si>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</si>
  <si>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</si>
  <si>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</si>
  <si>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</si>
  <si>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</si>
  <si>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15K4200W TRANSDUCER</t>
  </si>
  <si>
    <t>15K4200W换能器</t>
  </si>
  <si>
    <t>SHENZHEN BRANSUN ULTRASONIC EQU IPMENT CO.LTD</t>
  </si>
  <si>
    <t>/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</si>
  <si>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超声波焊接设备用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|15K4200W</t>
    </r>
    <r>
      <rPr>
        <sz val="10"/>
        <color rgb="FF000000"/>
        <rFont val="宋体"/>
        <charset val="134"/>
      </rPr>
      <t>型</t>
    </r>
  </si>
  <si>
    <t>AL</t>
  </si>
  <si>
    <t>2026.04.21</t>
  </si>
  <si>
    <t>CHINA</t>
  </si>
  <si>
    <t>NEW</t>
  </si>
  <si>
    <t>P1</t>
  </si>
  <si>
    <t>35*16*17</t>
  </si>
  <si>
    <t>37*29*28</t>
  </si>
  <si>
    <t>MACHINE MAINTENANCE</t>
  </si>
  <si>
    <t>NO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</si>
</sst>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0_ "/>
    <numFmt numFmtId="177" formatCode="0.00_ "/>
    <numFmt numFmtId="178" formatCode="0_ "/>
    <numFmt numFmtId="179" formatCode="yyyy/m/d;@"/>
  </numFmts>
  <fonts count="34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b/>
      <sz val="12"/>
      <color rgb="FF000000"/>
      <name val="楷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sz val="12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2" borderId="4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7" fillId="25" borderId="9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0" fillId="0" borderId="0"/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276225</xdr:colOff>
      <xdr:row>1</xdr:row>
      <xdr:rowOff>56515</xdr:rowOff>
    </xdr:from>
    <xdr:to>
      <xdr:col>17</xdr:col>
      <xdr:colOff>817880</xdr:colOff>
      <xdr:row>1</xdr:row>
      <xdr:rowOff>474345</xdr:rowOff>
    </xdr:to>
    <xdr:pic>
      <xdr:nvPicPr>
        <xdr:cNvPr id="2" name="图片 1" descr="20260421_1706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24845" y="640715"/>
          <a:ext cx="541655" cy="417830"/>
        </a:xfrm>
        <a:prstGeom prst="rect">
          <a:avLst/>
        </a:prstGeom>
      </xdr:spPr>
    </xdr:pic>
    <xdr:clientData/>
  </xdr:twoCellAnchor>
  <xdr:twoCellAnchor editAs="oneCell">
    <xdr:from>
      <xdr:col>18</xdr:col>
      <xdr:colOff>740410</xdr:colOff>
      <xdr:row>1</xdr:row>
      <xdr:rowOff>41275</xdr:rowOff>
    </xdr:from>
    <xdr:to>
      <xdr:col>18</xdr:col>
      <xdr:colOff>1550670</xdr:colOff>
      <xdr:row>1</xdr:row>
      <xdr:rowOff>483870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074880" y="625475"/>
          <a:ext cx="810260" cy="442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showGridLines="0" tabSelected="1" workbookViewId="0">
      <pane xSplit="2" topLeftCell="C1" activePane="topRight" state="frozen"/>
      <selection/>
      <selection pane="topRight" activeCell="A3" sqref="$A3:$XFD5"/>
    </sheetView>
  </sheetViews>
  <sheetFormatPr defaultColWidth="9" defaultRowHeight="36" customHeight="1" outlineLevelRow="2"/>
  <cols>
    <col min="1" max="1" width="26.875" style="3" customWidth="1"/>
    <col min="2" max="2" width="17.75" style="2" customWidth="1"/>
    <col min="3" max="3" width="36.7333333333333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7.625" style="4" customWidth="1"/>
    <col min="11" max="11" width="17.12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3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4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24" t="s">
        <v>31</v>
      </c>
    </row>
    <row r="2" s="2" customFormat="1" ht="42" customHeight="1" spans="1:32">
      <c r="A2" s="10" t="s">
        <v>32</v>
      </c>
      <c r="B2" s="11" t="s">
        <v>33</v>
      </c>
      <c r="C2" s="12" t="s">
        <v>34</v>
      </c>
      <c r="D2" s="13"/>
      <c r="E2" s="12" t="s">
        <v>35</v>
      </c>
      <c r="F2" s="12" t="s">
        <v>35</v>
      </c>
      <c r="G2" s="12" t="s">
        <v>35</v>
      </c>
      <c r="H2" s="10">
        <v>8479909090</v>
      </c>
      <c r="I2" s="10">
        <v>84799040</v>
      </c>
      <c r="J2" s="15" t="s">
        <v>36</v>
      </c>
      <c r="K2" s="13"/>
      <c r="L2" s="16" t="s">
        <v>37</v>
      </c>
      <c r="M2" s="16" t="s">
        <v>35</v>
      </c>
      <c r="N2" s="16" t="s">
        <v>35</v>
      </c>
      <c r="O2" s="17" t="s">
        <v>38</v>
      </c>
      <c r="P2" s="16" t="s">
        <v>39</v>
      </c>
      <c r="Q2" s="16" t="s">
        <v>40</v>
      </c>
      <c r="R2" s="19"/>
      <c r="S2" s="16"/>
      <c r="T2" s="16">
        <v>1</v>
      </c>
      <c r="U2" s="20">
        <v>4000</v>
      </c>
      <c r="V2" s="21">
        <f>ROUND(U2/1.13*1.08/6.9025,4)</f>
        <v>553.8586</v>
      </c>
      <c r="W2" s="22">
        <f>ROUND(V2*T2,2)</f>
        <v>553.86</v>
      </c>
      <c r="X2" s="23" t="s">
        <v>41</v>
      </c>
      <c r="Y2" s="23">
        <v>1</v>
      </c>
      <c r="Z2" s="25">
        <v>13.08</v>
      </c>
      <c r="AA2" s="10">
        <v>12.08</v>
      </c>
      <c r="AB2" s="19" t="s">
        <v>42</v>
      </c>
      <c r="AC2" s="16" t="s">
        <v>43</v>
      </c>
      <c r="AD2" s="12" t="s">
        <v>44</v>
      </c>
      <c r="AE2" s="26" t="s">
        <v>45</v>
      </c>
      <c r="AF2" s="21">
        <f>ROUND(U2/1.13*1.08,4)</f>
        <v>3823.0088</v>
      </c>
    </row>
    <row r="3" customHeight="1" spans="20:27">
      <c r="T3" s="2">
        <f>SUM(T2:T2)</f>
        <v>1</v>
      </c>
      <c r="W3" s="6">
        <f>SUM(W2:W2)</f>
        <v>553.86</v>
      </c>
      <c r="Y3" s="3">
        <f>SUM(Y2:Y2)</f>
        <v>1</v>
      </c>
      <c r="Z3" s="3">
        <f>SUM(Z2:Z2)</f>
        <v>13.08</v>
      </c>
      <c r="AA3" s="2">
        <f>SUM(AA2:AA2)</f>
        <v>12.08</v>
      </c>
    </row>
  </sheetData>
  <autoFilter ref="A1:AF3">
    <extLst/>
  </autoFilter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M20260405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2026-04-27T06:07:10Z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