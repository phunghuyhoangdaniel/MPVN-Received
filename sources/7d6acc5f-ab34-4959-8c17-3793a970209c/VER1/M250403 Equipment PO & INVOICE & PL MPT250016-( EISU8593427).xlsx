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Y:\current data\1 DUNG + MAI\3- IM-EX-2025\THÁNG 04\4. IMPORT OVERSEA\27.MPT250015-MPT250016-TS250008-EGLV149502442239\"/>
    </mc:Choice>
  </mc:AlternateContent>
  <xr:revisionPtr revIDLastSave="0" documentId="13_ncr:1_{0CCE02B6-E7A7-4CF4-A265-25C5ADE66890}" xr6:coauthVersionLast="47" xr6:coauthVersionMax="47" xr10:uidLastSave="{00000000-0000-0000-0000-000000000000}"/>
  <bookViews>
    <workbookView xWindow="-48" yWindow="-48" windowWidth="23136" windowHeight="12456" activeTab="2" xr2:uid="{00000000-000D-0000-FFFF-FFFF00000000}"/>
  </bookViews>
  <sheets>
    <sheet name="250302-1109" sheetId="28" r:id="rId1"/>
    <sheet name="250340-1115" sheetId="29" r:id="rId2"/>
    <sheet name="Invoice " sheetId="1" r:id="rId3"/>
    <sheet name="Packing list " sheetId="4" r:id="rId4"/>
  </sheets>
  <definedNames>
    <definedName name="_xlnm._FilterDatabase" localSheetId="2" hidden="1">'Invoice '!$A$15:$L$23</definedName>
    <definedName name="_xlnm._FilterDatabase" localSheetId="3" hidden="1">'Packing list '!$A$1:$K$25</definedName>
    <definedName name="_xlnm.Print_Area" localSheetId="2">'Invoice '!$A$1:$L$32</definedName>
    <definedName name="_xlnm.Print_Area" localSheetId="3">'Packing list '!$A$1:$K$28</definedName>
  </definedNames>
  <calcPr calcId="191029"/>
</workbook>
</file>

<file path=xl/calcChain.xml><?xml version="1.0" encoding="utf-8"?>
<calcChain xmlns="http://schemas.openxmlformats.org/spreadsheetml/2006/main">
  <c r="J23" i="4" l="1"/>
  <c r="I23" i="4"/>
  <c r="F23" i="4"/>
  <c r="B12" i="4"/>
  <c r="H11" i="4"/>
  <c r="B11" i="4"/>
  <c r="H10" i="4"/>
  <c r="H9" i="4"/>
  <c r="B9" i="4"/>
  <c r="H8" i="4"/>
  <c r="B8" i="4"/>
  <c r="H7" i="4"/>
  <c r="H6" i="4"/>
  <c r="B6" i="4"/>
  <c r="H5" i="4"/>
  <c r="H4" i="4"/>
  <c r="H3" i="4"/>
  <c r="B3" i="4"/>
  <c r="H2" i="4"/>
  <c r="L23" i="1"/>
  <c r="I23" i="1"/>
  <c r="L22" i="1"/>
  <c r="L21" i="1"/>
  <c r="L20" i="1"/>
  <c r="L19" i="1"/>
  <c r="L18" i="1"/>
  <c r="L17" i="1"/>
  <c r="L16" i="1"/>
  <c r="H19" i="29"/>
  <c r="D19" i="29"/>
  <c r="H18" i="29"/>
  <c r="H17" i="29"/>
  <c r="H16" i="29"/>
  <c r="H15" i="29"/>
  <c r="H14" i="29"/>
  <c r="H13" i="29"/>
  <c r="H14" i="28"/>
  <c r="D14" i="28"/>
  <c r="H13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J10" authorId="0" shapeId="0" xr:uid="{00000000-0006-0000-0200-000001000000}">
      <text>
        <r>
          <rPr>
            <sz val="9"/>
            <rFont val="Tahoma"/>
            <family val="2"/>
          </rPr>
          <t xml:space="preserve">fill in if any
</t>
        </r>
      </text>
    </comment>
  </commentList>
</comments>
</file>

<file path=xl/sharedStrings.xml><?xml version="1.0" encoding="utf-8"?>
<sst xmlns="http://schemas.openxmlformats.org/spreadsheetml/2006/main" count="221" uniqueCount="90">
  <si>
    <t>PURCHASE ORDER</t>
  </si>
  <si>
    <t>PO   NO:250302-1109</t>
  </si>
  <si>
    <t>PO DATE:</t>
  </si>
  <si>
    <t>BUYER:</t>
  </si>
  <si>
    <t>MOONPO DEVELOPMENT(VIETNAM) LIMITED</t>
  </si>
  <si>
    <t>ADDRESS: LOT CN-01, DONG VAN IV INDUSTRIAL ZONE, DAI CUONG WARD, KIM BANG TOWN, HA NAM PROVINCE, VIET NAM.</t>
  </si>
  <si>
    <t>TAX NO: 0700834811</t>
  </si>
  <si>
    <t>PIC: MR. YC WONG</t>
  </si>
  <si>
    <t>SELLER:</t>
  </si>
  <si>
    <t>MOONPO TRADING(SHENZHEN)CO.,LTD</t>
  </si>
  <si>
    <t>ADDRESS: 1F,NO.28 XIANGXING ROAD,BUYONG COMMUNITY,SHAJING STREET,BAO'AN DISTRICT,SHENZHEN CITY,CHINA.</t>
  </si>
  <si>
    <t>I. DESCRIPTIONS OF GOODS:BY OCEAN</t>
  </si>
  <si>
    <t>NO</t>
  </si>
  <si>
    <t>DESCRIPTION OF GOODS</t>
  </si>
  <si>
    <t>QUANTITY</t>
  </si>
  <si>
    <t>UNIT</t>
  </si>
  <si>
    <t>ORIGIN</t>
  </si>
  <si>
    <t>UNIT PRICE
(USD)</t>
  </si>
  <si>
    <t>AMOUNT
(USD)</t>
  </si>
  <si>
    <t>Part no</t>
  </si>
  <si>
    <t>DESC</t>
  </si>
  <si>
    <t>B125-6.5A</t>
  </si>
  <si>
    <t>PROTECTION FILM</t>
  </si>
  <si>
    <t>ROLL</t>
  </si>
  <si>
    <t>CHINA</t>
  </si>
  <si>
    <t>1. Cargo is new 100%.</t>
  </si>
  <si>
    <t>2. Delivery terms: C&amp;F HAIPHONG</t>
  </si>
  <si>
    <t>3. Delivery time: in APR,2025</t>
  </si>
  <si>
    <t>4. Shipping method: BY OCEAN</t>
  </si>
  <si>
    <t>5. Packing standards: Following exporting standards</t>
  </si>
  <si>
    <t>6. Payment terms: TT</t>
  </si>
  <si>
    <t>7. PO has been acknowledged and signed by 02 parties and sent via email.</t>
  </si>
  <si>
    <t>ACCEPTED BY SELLER</t>
  </si>
  <si>
    <t>BUYER</t>
  </si>
  <si>
    <t>PO   NO:250340-1115</t>
  </si>
  <si>
    <t>LT5GEO</t>
  </si>
  <si>
    <t>PCBA TESTING FIXTURE</t>
  </si>
  <si>
    <t>PCS</t>
  </si>
  <si>
    <t>AE-BRISA</t>
  </si>
  <si>
    <t>STICK BLOWING NOZZLE BOARD SPONGE FIXTURE</t>
  </si>
  <si>
    <t>FIXED NOZZLE ASSEMBLY RUBBER RING FIXTURE</t>
  </si>
  <si>
    <t>PRESSURE LEFT SHELL BEER MACHINE FIXTURE</t>
  </si>
  <si>
    <t>RIGHT SIDE SHELL BEER MACHINE FIXTURE</t>
  </si>
  <si>
    <t>BLOWING FIXTURE</t>
  </si>
  <si>
    <t>COMMERCIAL INVOICE</t>
  </si>
  <si>
    <t>INVOICE NO:MPT250016</t>
  </si>
  <si>
    <t>NAME:MOONPO TRADING(SHENZHEN)CO.,LTD</t>
  </si>
  <si>
    <t>INVOICE DATE:2025-04-23</t>
  </si>
  <si>
    <t>PO NO：Below list</t>
  </si>
  <si>
    <t>PAYMENT TERMS: TT</t>
  </si>
  <si>
    <t>TELL: 0755-29698989</t>
  </si>
  <si>
    <t>DELIVERY TERMS:C&amp;F HAIPHONG</t>
  </si>
  <si>
    <t>PORT OF LOADING:SHEKOU</t>
  </si>
  <si>
    <t>NAME: MOONPO DEVELOPMENT(VIETNAM) LIMITED</t>
  </si>
  <si>
    <t>PORT OF DISCHARGE: HAIPHONG</t>
  </si>
  <si>
    <r>
      <rPr>
        <sz val="11"/>
        <color theme="1"/>
        <rFont val="宋体"/>
        <charset val="134"/>
      </rPr>
      <t>ADDRESS:</t>
    </r>
    <r>
      <rPr>
        <sz val="11"/>
        <color rgb="FF000000"/>
        <rFont val="宋体"/>
        <charset val="134"/>
      </rPr>
      <t xml:space="preserve"> LOT CN-01, DONG VAN IV INDUSTRIAL ZONE, DAI CUONG WARD, KIM BANG TOWN, HA NAM PROVINCE, VIET NAM</t>
    </r>
  </si>
  <si>
    <t>PORT OF TRANSIT:</t>
  </si>
  <si>
    <t>ETD POL:2025-04-28</t>
  </si>
  <si>
    <t>TAX NUMBER: 0700834811</t>
  </si>
  <si>
    <t>ETA POD:2025-04-30</t>
  </si>
  <si>
    <t>TELL:(+84) 0396869966, Email: vttdung@moonpo.com</t>
  </si>
  <si>
    <t>VESSEL/VOYAGE: BY OCEAN</t>
  </si>
  <si>
    <t>DESCRIPTIONS OF GOODS</t>
  </si>
  <si>
    <t>HS code</t>
  </si>
  <si>
    <t>ORIGIN OF
 GOODS</t>
  </si>
  <si>
    <t>PO NO.</t>
  </si>
  <si>
    <t>PO Line 
No.</t>
  </si>
  <si>
    <t>PART NO</t>
  </si>
  <si>
    <t>NAME</t>
  </si>
  <si>
    <t>250302-1109</t>
  </si>
  <si>
    <t>保护膜</t>
  </si>
  <si>
    <t>250340-1115</t>
  </si>
  <si>
    <t>PCBA测试架治具</t>
  </si>
  <si>
    <t>贴吹嘴板海棉治具</t>
  </si>
  <si>
    <t>固定吹嘴组件装胶圈治具</t>
  </si>
  <si>
    <t>FIXED NOZZLE ASSEMBLY 
RUBBER RING FIXTURE</t>
  </si>
  <si>
    <t>压左面壳啤机治具</t>
  </si>
  <si>
    <t>压右面壳啤机治具</t>
  </si>
  <si>
    <t>吹气治具</t>
  </si>
  <si>
    <t>TOTAL:</t>
  </si>
  <si>
    <t>PACKING LIST</t>
  </si>
  <si>
    <t>QUANTITY OF GOODS</t>
  </si>
  <si>
    <t>NO OF CARTON</t>
  </si>
  <si>
    <t>G/W
(KG)</t>
  </si>
  <si>
    <t>N/W
(KG)</t>
  </si>
  <si>
    <t>M3</t>
  </si>
  <si>
    <t>M1-M2</t>
  </si>
  <si>
    <t>H1</t>
  </si>
  <si>
    <t>H2</t>
  </si>
  <si>
    <t>NO OF PACKAGE: 4 PACKAGE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</si>
</sst>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7" formatCode="0.00_ "/>
    <numFmt numFmtId="168" formatCode="_ * #,##0_ ;_ * \-#,##0_ ;_ * &quot;-&quot;_ ;_ @_ "/>
    <numFmt numFmtId="170" formatCode="0_ "/>
    <numFmt numFmtId="171" formatCode="0.0000_ "/>
  </numFmts>
  <fonts count="40">
    <font>
      <sz val="11"/>
      <color theme="1"/>
      <name val="Calibri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b/>
      <sz val="2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4"/>
      <name val="宋体"/>
      <charset val="134"/>
    </font>
    <font>
      <sz val="11"/>
      <color theme="1"/>
      <name val="仿宋"/>
      <charset val="134"/>
    </font>
    <font>
      <sz val="11"/>
      <name val="仿宋"/>
      <charset val="134"/>
    </font>
    <font>
      <sz val="11"/>
      <color theme="1"/>
      <name val="宋体"/>
      <charset val="134"/>
    </font>
    <font>
      <b/>
      <sz val="20"/>
      <color theme="1"/>
      <name val="宋体"/>
      <charset val="134"/>
    </font>
    <font>
      <sz val="12"/>
      <color theme="1"/>
      <name val="宋体"/>
      <charset val="134"/>
    </font>
    <font>
      <b/>
      <sz val="11"/>
      <color theme="1"/>
      <name val="宋体"/>
      <charset val="134"/>
    </font>
    <font>
      <u/>
      <sz val="11"/>
      <name val="宋体"/>
      <charset val="134"/>
    </font>
    <font>
      <b/>
      <sz val="11"/>
      <name val="仿宋"/>
      <charset val="134"/>
    </font>
    <font>
      <b/>
      <sz val="11"/>
      <color theme="1"/>
      <name val="仿宋"/>
      <charset val="134"/>
    </font>
    <font>
      <b/>
      <sz val="12"/>
      <color rgb="FF000000"/>
      <name val="宋体"/>
      <charset val="134"/>
    </font>
    <font>
      <b/>
      <sz val="14"/>
      <name val="仿宋"/>
      <charset val="134"/>
    </font>
    <font>
      <b/>
      <sz val="14"/>
      <color theme="1"/>
      <name val="仿宋"/>
      <charset val="134"/>
    </font>
    <font>
      <b/>
      <sz val="14"/>
      <color theme="1"/>
      <name val="宋体"/>
      <charset val="134"/>
    </font>
    <font>
      <sz val="10"/>
      <color theme="1"/>
      <name val="宋体"/>
      <charset val="134"/>
    </font>
    <font>
      <b/>
      <sz val="18"/>
      <color theme="1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sz val="11"/>
      <color rgb="FF0000FF"/>
      <name val="宋体"/>
      <charset val="134"/>
    </font>
    <font>
      <sz val="12"/>
      <color rgb="FFFF0000"/>
      <name val="宋体"/>
      <charset val="134"/>
    </font>
    <font>
      <sz val="14"/>
      <name val="宋体"/>
      <charset val="134"/>
    </font>
    <font>
      <b/>
      <sz val="10"/>
      <color theme="1"/>
      <name val="宋体"/>
      <charset val="134"/>
    </font>
    <font>
      <sz val="12"/>
      <color theme="1"/>
      <name val="Calibri"/>
      <charset val="134"/>
      <scheme val="minor"/>
    </font>
    <font>
      <sz val="11"/>
      <name val="돋움"/>
      <charset val="134"/>
    </font>
    <font>
      <sz val="10"/>
      <name val="Arial"/>
      <family val="2"/>
    </font>
    <font>
      <u/>
      <sz val="11"/>
      <color theme="10"/>
      <name val="Calibri"/>
      <charset val="134"/>
      <scheme val="minor"/>
    </font>
    <font>
      <sz val="11"/>
      <color indexed="8"/>
      <name val="맑은 고딕"/>
      <charset val="134"/>
    </font>
    <font>
      <sz val="11"/>
      <color rgb="FF000000"/>
      <name val="宋体"/>
      <charset val="134"/>
    </font>
    <font>
      <sz val="9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35" fillId="0" borderId="0" applyNumberFormat="0" applyFill="0" applyBorder="0" applyAlignment="0" applyProtection="0"/>
    <xf numFmtId="168" fontId="32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164" fontId="33" fillId="0" borderId="0" applyFont="0" applyFill="0" applyBorder="0" applyAlignment="0" applyProtection="0"/>
    <xf numFmtId="0" fontId="34" fillId="0" borderId="0">
      <alignment vertical="center"/>
    </xf>
    <xf numFmtId="0" fontId="33" fillId="0" borderId="0"/>
    <xf numFmtId="0" fontId="32" fillId="0" borderId="0">
      <alignment vertical="center"/>
    </xf>
    <xf numFmtId="0" fontId="39" fillId="0" borderId="0"/>
    <xf numFmtId="0" fontId="34" fillId="0" borderId="0">
      <alignment vertical="center"/>
    </xf>
    <xf numFmtId="164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</cellStyleXfs>
  <cellXfs count="28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right"/>
    </xf>
    <xf numFmtId="0" fontId="2" fillId="0" borderId="0" xfId="0" applyFont="1"/>
    <xf numFmtId="0" fontId="6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1" fillId="0" borderId="7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/>
    </xf>
    <xf numFmtId="0" fontId="8" fillId="0" borderId="9" xfId="8" applyFont="1" applyBorder="1" applyAlignment="1">
      <alignment horizontal="left" wrapText="1"/>
    </xf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left" wrapText="1"/>
    </xf>
    <xf numFmtId="170" fontId="5" fillId="0" borderId="9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9" fillId="0" borderId="6" xfId="0" applyFont="1" applyBorder="1"/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6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7" fontId="6" fillId="0" borderId="4" xfId="0" applyNumberFormat="1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0" borderId="24" xfId="0" applyFont="1" applyBorder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24" xfId="0" applyFont="1" applyBorder="1" applyAlignment="1">
      <alignment vertical="center"/>
    </xf>
    <xf numFmtId="167" fontId="1" fillId="0" borderId="0" xfId="0" applyNumberFormat="1" applyFont="1"/>
    <xf numFmtId="0" fontId="1" fillId="0" borderId="24" xfId="0" applyFont="1" applyBorder="1"/>
    <xf numFmtId="167" fontId="7" fillId="0" borderId="9" xfId="0" applyNumberFormat="1" applyFont="1" applyBorder="1" applyAlignment="1">
      <alignment horizontal="left"/>
    </xf>
    <xf numFmtId="0" fontId="7" fillId="0" borderId="25" xfId="0" applyFont="1" applyBorder="1" applyAlignment="1">
      <alignment horizontal="left" wrapText="1"/>
    </xf>
    <xf numFmtId="167" fontId="5" fillId="0" borderId="9" xfId="0" applyNumberFormat="1" applyFont="1" applyBorder="1" applyAlignment="1">
      <alignment horizontal="right" vertical="center"/>
    </xf>
    <xf numFmtId="0" fontId="6" fillId="0" borderId="25" xfId="0" applyFont="1" applyBorder="1" applyAlignment="1">
      <alignment horizontal="center" vertical="center" wrapText="1"/>
    </xf>
    <xf numFmtId="167" fontId="4" fillId="0" borderId="0" xfId="0" applyNumberFormat="1" applyFont="1" applyAlignment="1">
      <alignment horizontal="right" vertical="center" wrapText="1"/>
    </xf>
    <xf numFmtId="0" fontId="4" fillId="0" borderId="23" xfId="0" applyFont="1" applyBorder="1" applyAlignment="1">
      <alignment horizontal="center" vertical="center"/>
    </xf>
    <xf numFmtId="0" fontId="2" fillId="0" borderId="24" xfId="0" applyFont="1" applyBorder="1"/>
    <xf numFmtId="167" fontId="2" fillId="0" borderId="21" xfId="0" applyNumberFormat="1" applyFont="1" applyBorder="1" applyAlignment="1">
      <alignment horizontal="right"/>
    </xf>
    <xf numFmtId="0" fontId="2" fillId="0" borderId="26" xfId="0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7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71" fontId="13" fillId="0" borderId="0" xfId="0" applyNumberFormat="1" applyFont="1" applyAlignment="1">
      <alignment horizontal="right"/>
    </xf>
    <xf numFmtId="0" fontId="15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29" xfId="0" applyFont="1" applyBorder="1" applyAlignment="1">
      <alignment vertical="center" wrapText="1"/>
    </xf>
    <xf numFmtId="0" fontId="13" fillId="0" borderId="1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vertical="center" wrapText="1"/>
    </xf>
    <xf numFmtId="0" fontId="13" fillId="0" borderId="29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4" xfId="0" applyFont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/>
    </xf>
    <xf numFmtId="0" fontId="8" fillId="0" borderId="11" xfId="8" applyFont="1" applyBorder="1" applyAlignment="1">
      <alignment horizontal="left" wrapText="1"/>
    </xf>
    <xf numFmtId="0" fontId="11" fillId="0" borderId="6" xfId="0" applyFont="1" applyBorder="1"/>
    <xf numFmtId="0" fontId="12" fillId="0" borderId="0" xfId="0" applyFont="1" applyAlignment="1">
      <alignment horizontal="center"/>
    </xf>
    <xf numFmtId="0" fontId="13" fillId="0" borderId="6" xfId="0" applyFont="1" applyBorder="1"/>
    <xf numFmtId="0" fontId="20" fillId="0" borderId="0" xfId="0" applyFont="1"/>
    <xf numFmtId="0" fontId="13" fillId="0" borderId="20" xfId="0" applyFont="1" applyBorder="1"/>
    <xf numFmtId="0" fontId="13" fillId="0" borderId="21" xfId="0" applyFont="1" applyBorder="1"/>
    <xf numFmtId="0" fontId="1" fillId="0" borderId="3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/>
    </xf>
    <xf numFmtId="171" fontId="8" fillId="0" borderId="19" xfId="8" applyNumberFormat="1" applyFont="1" applyBorder="1" applyAlignment="1">
      <alignment horizontal="right" wrapText="1"/>
    </xf>
    <xf numFmtId="171" fontId="7" fillId="0" borderId="36" xfId="0" applyNumberFormat="1" applyFont="1" applyBorder="1" applyAlignment="1">
      <alignment horizontal="right"/>
    </xf>
    <xf numFmtId="0" fontId="6" fillId="0" borderId="9" xfId="0" applyFont="1" applyBorder="1" applyAlignment="1">
      <alignment horizontal="center"/>
    </xf>
    <xf numFmtId="171" fontId="6" fillId="0" borderId="9" xfId="0" applyNumberFormat="1" applyFont="1" applyBorder="1" applyAlignment="1">
      <alignment horizontal="center"/>
    </xf>
    <xf numFmtId="171" fontId="6" fillId="0" borderId="36" xfId="0" applyNumberFormat="1" applyFont="1" applyBorder="1" applyAlignment="1">
      <alignment horizontal="right"/>
    </xf>
    <xf numFmtId="0" fontId="21" fillId="0" borderId="4" xfId="0" applyFont="1" applyBorder="1" applyAlignment="1">
      <alignment horizontal="right" vertical="center" wrapText="1"/>
    </xf>
    <xf numFmtId="0" fontId="22" fillId="0" borderId="4" xfId="0" applyFont="1" applyBorder="1" applyAlignment="1">
      <alignment vertical="center" wrapText="1"/>
    </xf>
    <xf numFmtId="171" fontId="22" fillId="0" borderId="4" xfId="0" applyNumberFormat="1" applyFont="1" applyBorder="1" applyAlignment="1">
      <alignment horizontal="right" vertical="center" wrapText="1"/>
    </xf>
    <xf numFmtId="171" fontId="22" fillId="0" borderId="24" xfId="0" applyNumberFormat="1" applyFont="1" applyBorder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horizontal="center" vertical="center" wrapText="1"/>
    </xf>
    <xf numFmtId="171" fontId="22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23" fillId="0" borderId="0" xfId="0" applyFont="1" applyAlignment="1">
      <alignment horizontal="center" vertical="center" wrapText="1"/>
    </xf>
    <xf numFmtId="171" fontId="23" fillId="0" borderId="0" xfId="0" applyNumberFormat="1" applyFont="1" applyAlignment="1">
      <alignment horizontal="right" vertical="center" wrapText="1"/>
    </xf>
    <xf numFmtId="171" fontId="23" fillId="0" borderId="24" xfId="0" applyNumberFormat="1" applyFont="1" applyBorder="1" applyAlignment="1">
      <alignment horizontal="right" vertical="center" wrapText="1"/>
    </xf>
    <xf numFmtId="0" fontId="10" fillId="0" borderId="21" xfId="0" applyFont="1" applyBorder="1" applyAlignment="1">
      <alignment horizontal="right" vertical="center" wrapText="1"/>
    </xf>
    <xf numFmtId="0" fontId="23" fillId="0" borderId="21" xfId="0" applyFont="1" applyBorder="1" applyAlignment="1">
      <alignment horizontal="center" vertical="center" wrapText="1"/>
    </xf>
    <xf numFmtId="171" fontId="23" fillId="0" borderId="21" xfId="0" applyNumberFormat="1" applyFont="1" applyBorder="1" applyAlignment="1">
      <alignment horizontal="right" vertical="center" wrapText="1"/>
    </xf>
    <xf numFmtId="171" fontId="23" fillId="0" borderId="26" xfId="0" applyNumberFormat="1" applyFont="1" applyBorder="1" applyAlignment="1">
      <alignment horizontal="right" vertical="center" wrapText="1"/>
    </xf>
    <xf numFmtId="0" fontId="13" fillId="0" borderId="0" xfId="8" applyFont="1"/>
    <xf numFmtId="0" fontId="13" fillId="0" borderId="0" xfId="8" applyFont="1" applyAlignment="1">
      <alignment vertical="center"/>
    </xf>
    <xf numFmtId="0" fontId="13" fillId="0" borderId="0" xfId="8" applyFont="1" applyAlignment="1">
      <alignment horizontal="left"/>
    </xf>
    <xf numFmtId="0" fontId="1" fillId="0" borderId="0" xfId="8" applyFont="1"/>
    <xf numFmtId="0" fontId="13" fillId="0" borderId="0" xfId="8" applyFont="1" applyAlignment="1">
      <alignment horizontal="center"/>
    </xf>
    <xf numFmtId="167" fontId="13" fillId="0" borderId="0" xfId="8" applyNumberFormat="1" applyFont="1" applyAlignment="1">
      <alignment horizontal="right"/>
    </xf>
    <xf numFmtId="171" fontId="24" fillId="0" borderId="0" xfId="8" applyNumberFormat="1" applyFont="1" applyAlignment="1">
      <alignment horizontal="right"/>
    </xf>
    <xf numFmtId="0" fontId="15" fillId="0" borderId="6" xfId="8" applyFont="1" applyBorder="1"/>
    <xf numFmtId="0" fontId="15" fillId="0" borderId="0" xfId="8" applyFont="1"/>
    <xf numFmtId="0" fontId="15" fillId="0" borderId="0" xfId="8" applyFont="1" applyAlignment="1">
      <alignment horizontal="left"/>
    </xf>
    <xf numFmtId="0" fontId="26" fillId="0" borderId="0" xfId="8" applyFont="1"/>
    <xf numFmtId="0" fontId="15" fillId="2" borderId="0" xfId="8" applyFont="1" applyFill="1" applyAlignment="1">
      <alignment horizontal="left"/>
    </xf>
    <xf numFmtId="0" fontId="13" fillId="2" borderId="0" xfId="8" applyFont="1" applyFill="1" applyAlignment="1">
      <alignment horizontal="left" vertical="center"/>
    </xf>
    <xf numFmtId="167" fontId="13" fillId="2" borderId="0" xfId="8" applyNumberFormat="1" applyFont="1" applyFill="1" applyAlignment="1">
      <alignment horizontal="right" vertical="center"/>
    </xf>
    <xf numFmtId="171" fontId="24" fillId="0" borderId="24" xfId="8" applyNumberFormat="1" applyFont="1" applyBorder="1" applyAlignment="1">
      <alignment horizontal="right" vertical="center"/>
    </xf>
    <xf numFmtId="14" fontId="13" fillId="2" borderId="0" xfId="8" applyNumberFormat="1" applyFont="1" applyFill="1" applyAlignment="1">
      <alignment horizontal="left" vertical="center"/>
    </xf>
    <xf numFmtId="0" fontId="27" fillId="0" borderId="3" xfId="8" applyFont="1" applyBorder="1"/>
    <xf numFmtId="0" fontId="27" fillId="0" borderId="4" xfId="8" applyFont="1" applyBorder="1"/>
    <xf numFmtId="0" fontId="27" fillId="0" borderId="4" xfId="8" applyFont="1" applyBorder="1" applyAlignment="1">
      <alignment horizontal="left"/>
    </xf>
    <xf numFmtId="0" fontId="26" fillId="0" borderId="4" xfId="8" applyFont="1" applyBorder="1"/>
    <xf numFmtId="0" fontId="15" fillId="0" borderId="4" xfId="8" applyFont="1" applyBorder="1" applyAlignment="1">
      <alignment horizontal="center"/>
    </xf>
    <xf numFmtId="167" fontId="15" fillId="0" borderId="4" xfId="8" applyNumberFormat="1" applyFont="1" applyBorder="1" applyAlignment="1">
      <alignment horizontal="right"/>
    </xf>
    <xf numFmtId="171" fontId="24" fillId="0" borderId="23" xfId="8" applyNumberFormat="1" applyFont="1" applyBorder="1" applyAlignment="1">
      <alignment horizontal="right"/>
    </xf>
    <xf numFmtId="0" fontId="15" fillId="0" borderId="6" xfId="8" applyFont="1" applyBorder="1" applyAlignment="1">
      <alignment vertical="center"/>
    </xf>
    <xf numFmtId="0" fontId="15" fillId="0" borderId="0" xfId="8" applyFont="1" applyAlignment="1">
      <alignment horizontal="center"/>
    </xf>
    <xf numFmtId="167" fontId="15" fillId="0" borderId="0" xfId="8" applyNumberFormat="1" applyFont="1" applyAlignment="1">
      <alignment horizontal="right"/>
    </xf>
    <xf numFmtId="171" fontId="24" fillId="0" borderId="24" xfId="8" applyNumberFormat="1" applyFont="1" applyBorder="1" applyAlignment="1">
      <alignment horizontal="right"/>
    </xf>
    <xf numFmtId="0" fontId="15" fillId="0" borderId="29" xfId="8" applyFont="1" applyBorder="1"/>
    <xf numFmtId="0" fontId="15" fillId="0" borderId="14" xfId="8" applyFont="1" applyBorder="1"/>
    <xf numFmtId="0" fontId="15" fillId="0" borderId="14" xfId="8" applyFont="1" applyBorder="1" applyAlignment="1">
      <alignment horizontal="left"/>
    </xf>
    <xf numFmtId="0" fontId="26" fillId="0" borderId="14" xfId="8" applyFont="1" applyBorder="1"/>
    <xf numFmtId="0" fontId="15" fillId="0" borderId="14" xfId="8" applyFont="1" applyBorder="1" applyAlignment="1">
      <alignment horizontal="center"/>
    </xf>
    <xf numFmtId="167" fontId="15" fillId="0" borderId="14" xfId="8" applyNumberFormat="1" applyFont="1" applyBorder="1" applyAlignment="1">
      <alignment horizontal="right"/>
    </xf>
    <xf numFmtId="171" fontId="24" fillId="0" borderId="38" xfId="8" applyNumberFormat="1" applyFont="1" applyBorder="1" applyAlignment="1">
      <alignment horizontal="right"/>
    </xf>
    <xf numFmtId="0" fontId="27" fillId="0" borderId="3" xfId="8" applyFont="1" applyBorder="1" applyAlignment="1">
      <alignment vertical="center"/>
    </xf>
    <xf numFmtId="0" fontId="27" fillId="0" borderId="4" xfId="8" applyFont="1" applyBorder="1" applyAlignment="1">
      <alignment vertical="center"/>
    </xf>
    <xf numFmtId="0" fontId="27" fillId="0" borderId="4" xfId="8" applyFont="1" applyBorder="1" applyAlignment="1">
      <alignment horizontal="left" vertical="center"/>
    </xf>
    <xf numFmtId="0" fontId="26" fillId="0" borderId="4" xfId="8" applyFont="1" applyBorder="1" applyAlignment="1">
      <alignment vertical="center"/>
    </xf>
    <xf numFmtId="0" fontId="15" fillId="0" borderId="4" xfId="8" applyFont="1" applyBorder="1" applyAlignment="1">
      <alignment horizontal="center" vertical="center"/>
    </xf>
    <xf numFmtId="167" fontId="15" fillId="0" borderId="4" xfId="8" applyNumberFormat="1" applyFont="1" applyBorder="1" applyAlignment="1">
      <alignment horizontal="right" vertical="center"/>
    </xf>
    <xf numFmtId="171" fontId="24" fillId="0" borderId="23" xfId="8" applyNumberFormat="1" applyFont="1" applyBorder="1" applyAlignment="1">
      <alignment horizontal="right" vertical="center"/>
    </xf>
    <xf numFmtId="0" fontId="15" fillId="0" borderId="29" xfId="8" applyFont="1" applyBorder="1" applyAlignment="1">
      <alignment vertical="center"/>
    </xf>
    <xf numFmtId="0" fontId="27" fillId="0" borderId="6" xfId="8" applyFont="1" applyBorder="1" applyAlignment="1">
      <alignment vertical="center"/>
    </xf>
    <xf numFmtId="0" fontId="15" fillId="0" borderId="0" xfId="8" applyFont="1" applyAlignment="1">
      <alignment vertical="center"/>
    </xf>
    <xf numFmtId="0" fontId="15" fillId="0" borderId="0" xfId="8" applyFont="1" applyAlignment="1">
      <alignment horizontal="left" vertical="center"/>
    </xf>
    <xf numFmtId="0" fontId="26" fillId="0" borderId="0" xfId="8" applyFont="1" applyAlignment="1">
      <alignment vertical="center"/>
    </xf>
    <xf numFmtId="0" fontId="15" fillId="0" borderId="0" xfId="8" applyFont="1" applyAlignment="1">
      <alignment horizontal="center" vertical="center"/>
    </xf>
    <xf numFmtId="167" fontId="15" fillId="0" borderId="0" xfId="8" applyNumberFormat="1" applyFont="1" applyAlignment="1">
      <alignment horizontal="right" vertical="center"/>
    </xf>
    <xf numFmtId="0" fontId="27" fillId="0" borderId="9" xfId="8" applyFont="1" applyBorder="1" applyAlignment="1">
      <alignment horizontal="center" vertical="center" wrapText="1"/>
    </xf>
    <xf numFmtId="0" fontId="27" fillId="0" borderId="11" xfId="8" applyFont="1" applyBorder="1" applyAlignment="1">
      <alignment horizontal="center" vertical="center" wrapText="1"/>
    </xf>
    <xf numFmtId="0" fontId="8" fillId="0" borderId="18" xfId="8" applyFont="1" applyBorder="1" applyAlignment="1">
      <alignment horizontal="left" vertical="center"/>
    </xf>
    <xf numFmtId="0" fontId="8" fillId="0" borderId="9" xfId="8" applyFont="1" applyBorder="1" applyAlignment="1">
      <alignment horizontal="left" vertical="center" wrapText="1"/>
    </xf>
    <xf numFmtId="0" fontId="8" fillId="0" borderId="19" xfId="8" applyFont="1" applyBorder="1" applyAlignment="1">
      <alignment horizontal="left" vertical="center"/>
    </xf>
    <xf numFmtId="0" fontId="8" fillId="0" borderId="9" xfId="8" applyFont="1" applyBorder="1" applyAlignment="1">
      <alignment horizontal="right" vertical="center" wrapText="1"/>
    </xf>
    <xf numFmtId="171" fontId="8" fillId="0" borderId="40" xfId="8" applyNumberFormat="1" applyFont="1" applyBorder="1" applyAlignment="1">
      <alignment horizontal="right" vertical="center" wrapText="1"/>
    </xf>
    <xf numFmtId="0" fontId="8" fillId="0" borderId="11" xfId="8" applyFont="1" applyBorder="1" applyAlignment="1">
      <alignment horizontal="left" vertical="center" wrapText="1"/>
    </xf>
    <xf numFmtId="0" fontId="8" fillId="0" borderId="19" xfId="8" applyFont="1" applyBorder="1" applyAlignment="1">
      <alignment horizontal="right" vertical="center" wrapText="1"/>
    </xf>
    <xf numFmtId="0" fontId="8" fillId="0" borderId="9" xfId="8" applyFont="1" applyBorder="1" applyAlignment="1">
      <alignment horizontal="center" vertical="center"/>
    </xf>
    <xf numFmtId="0" fontId="5" fillId="0" borderId="9" xfId="8" applyFont="1" applyBorder="1" applyAlignment="1">
      <alignment horizontal="center" vertical="center"/>
    </xf>
    <xf numFmtId="0" fontId="27" fillId="0" borderId="9" xfId="8" applyFont="1" applyBorder="1" applyAlignment="1">
      <alignment horizontal="center" vertical="center"/>
    </xf>
    <xf numFmtId="4" fontId="27" fillId="0" borderId="9" xfId="8" applyNumberFormat="1" applyFont="1" applyBorder="1" applyAlignment="1">
      <alignment horizontal="center" vertical="center"/>
    </xf>
    <xf numFmtId="167" fontId="28" fillId="0" borderId="9" xfId="0" applyNumberFormat="1" applyFont="1" applyBorder="1" applyAlignment="1">
      <alignment horizontal="right" vertical="center"/>
    </xf>
    <xf numFmtId="0" fontId="8" fillId="0" borderId="0" xfId="8" applyFont="1" applyAlignment="1">
      <alignment horizontal="center" vertical="center"/>
    </xf>
    <xf numFmtId="0" fontId="29" fillId="0" borderId="0" xfId="8" applyFont="1"/>
    <xf numFmtId="0" fontId="30" fillId="0" borderId="0" xfId="8" applyFont="1"/>
    <xf numFmtId="0" fontId="15" fillId="0" borderId="20" xfId="8" applyFont="1" applyBorder="1"/>
    <xf numFmtId="0" fontId="15" fillId="0" borderId="21" xfId="8" applyFont="1" applyBorder="1"/>
    <xf numFmtId="0" fontId="15" fillId="0" borderId="21" xfId="8" applyFont="1" applyBorder="1" applyAlignment="1">
      <alignment horizontal="left"/>
    </xf>
    <xf numFmtId="0" fontId="26" fillId="0" borderId="21" xfId="8" applyFont="1" applyBorder="1"/>
    <xf numFmtId="0" fontId="15" fillId="0" borderId="21" xfId="8" applyFont="1" applyBorder="1" applyAlignment="1">
      <alignment horizontal="center"/>
    </xf>
    <xf numFmtId="167" fontId="15" fillId="0" borderId="21" xfId="8" applyNumberFormat="1" applyFont="1" applyBorder="1" applyAlignment="1">
      <alignment horizontal="right"/>
    </xf>
    <xf numFmtId="171" fontId="24" fillId="0" borderId="26" xfId="8" applyNumberFormat="1" applyFont="1" applyBorder="1" applyAlignment="1">
      <alignment horizontal="right"/>
    </xf>
    <xf numFmtId="0" fontId="25" fillId="0" borderId="1" xfId="8" applyFont="1" applyBorder="1" applyAlignment="1">
      <alignment horizontal="center" vertical="center"/>
    </xf>
    <xf numFmtId="0" fontId="25" fillId="0" borderId="2" xfId="8" applyFont="1" applyBorder="1" applyAlignment="1">
      <alignment horizontal="center" vertical="center"/>
    </xf>
    <xf numFmtId="0" fontId="25" fillId="0" borderId="22" xfId="8" applyFont="1" applyBorder="1" applyAlignment="1">
      <alignment horizontal="center" vertical="center"/>
    </xf>
    <xf numFmtId="0" fontId="15" fillId="0" borderId="0" xfId="8" applyFont="1" applyAlignment="1">
      <alignment horizontal="left" vertical="center" wrapText="1"/>
    </xf>
    <xf numFmtId="0" fontId="26" fillId="0" borderId="0" xfId="8" applyFont="1" applyAlignment="1">
      <alignment horizontal="left" vertical="center" wrapText="1"/>
    </xf>
    <xf numFmtId="0" fontId="15" fillId="0" borderId="0" xfId="8" applyFont="1" applyAlignment="1">
      <alignment horizontal="center" vertical="center" wrapText="1"/>
    </xf>
    <xf numFmtId="167" fontId="15" fillId="0" borderId="0" xfId="8" applyNumberFormat="1" applyFont="1" applyAlignment="1">
      <alignment horizontal="right" vertical="center" wrapText="1"/>
    </xf>
    <xf numFmtId="171" fontId="24" fillId="0" borderId="24" xfId="8" applyNumberFormat="1" applyFont="1" applyBorder="1" applyAlignment="1">
      <alignment horizontal="right" vertical="center" wrapText="1"/>
    </xf>
    <xf numFmtId="0" fontId="15" fillId="0" borderId="14" xfId="8" applyFont="1" applyBorder="1" applyAlignment="1">
      <alignment horizontal="left" vertical="center" wrapText="1"/>
    </xf>
    <xf numFmtId="0" fontId="26" fillId="0" borderId="14" xfId="8" applyFont="1" applyBorder="1" applyAlignment="1">
      <alignment horizontal="left" vertical="center" wrapText="1"/>
    </xf>
    <xf numFmtId="0" fontId="15" fillId="0" borderId="14" xfId="8" applyFont="1" applyBorder="1" applyAlignment="1">
      <alignment horizontal="center" vertical="center" wrapText="1"/>
    </xf>
    <xf numFmtId="167" fontId="15" fillId="0" borderId="14" xfId="8" applyNumberFormat="1" applyFont="1" applyBorder="1" applyAlignment="1">
      <alignment horizontal="right" vertical="center" wrapText="1"/>
    </xf>
    <xf numFmtId="171" fontId="24" fillId="0" borderId="38" xfId="8" applyNumberFormat="1" applyFont="1" applyBorder="1" applyAlignment="1">
      <alignment horizontal="right" vertical="center" wrapText="1"/>
    </xf>
    <xf numFmtId="0" fontId="27" fillId="0" borderId="10" xfId="8" applyFont="1" applyBorder="1" applyAlignment="1">
      <alignment horizontal="center" vertical="center" wrapText="1"/>
    </xf>
    <xf numFmtId="0" fontId="27" fillId="0" borderId="11" xfId="8" applyFont="1" applyBorder="1" applyAlignment="1">
      <alignment horizontal="left" vertical="center" wrapText="1"/>
    </xf>
    <xf numFmtId="0" fontId="23" fillId="0" borderId="6" xfId="8" applyFont="1" applyBorder="1" applyAlignment="1">
      <alignment horizontal="center"/>
    </xf>
    <xf numFmtId="0" fontId="23" fillId="0" borderId="0" xfId="8" applyFont="1" applyAlignment="1">
      <alignment horizontal="center"/>
    </xf>
    <xf numFmtId="0" fontId="23" fillId="0" borderId="0" xfId="8" applyFont="1" applyAlignment="1">
      <alignment horizontal="left"/>
    </xf>
    <xf numFmtId="167" fontId="23" fillId="0" borderId="0" xfId="8" applyNumberFormat="1" applyFont="1" applyAlignment="1">
      <alignment horizontal="right"/>
    </xf>
    <xf numFmtId="171" fontId="31" fillId="0" borderId="24" xfId="8" applyNumberFormat="1" applyFont="1" applyBorder="1" applyAlignment="1">
      <alignment horizontal="right"/>
    </xf>
    <xf numFmtId="0" fontId="27" fillId="0" borderId="31" xfId="8" applyFont="1" applyBorder="1" applyAlignment="1">
      <alignment horizontal="center" vertical="center"/>
    </xf>
    <xf numFmtId="0" fontId="27" fillId="0" borderId="18" xfId="8" applyFont="1" applyBorder="1" applyAlignment="1">
      <alignment horizontal="center" vertical="center"/>
    </xf>
    <xf numFmtId="0" fontId="5" fillId="0" borderId="17" xfId="8" applyFont="1" applyBorder="1" applyAlignment="1">
      <alignment horizontal="center" vertical="center"/>
    </xf>
    <xf numFmtId="0" fontId="5" fillId="0" borderId="19" xfId="8" applyFont="1" applyBorder="1" applyAlignment="1">
      <alignment horizontal="center" vertical="center"/>
    </xf>
    <xf numFmtId="0" fontId="27" fillId="0" borderId="17" xfId="8" applyFont="1" applyBorder="1" applyAlignment="1">
      <alignment horizontal="center" vertical="center"/>
    </xf>
    <xf numFmtId="0" fontId="27" fillId="0" borderId="19" xfId="8" applyFont="1" applyBorder="1" applyAlignment="1">
      <alignment horizontal="center" vertical="center"/>
    </xf>
    <xf numFmtId="167" fontId="27" fillId="0" borderId="17" xfId="8" applyNumberFormat="1" applyFont="1" applyBorder="1" applyAlignment="1">
      <alignment horizontal="center" vertical="center" wrapText="1"/>
    </xf>
    <xf numFmtId="167" fontId="27" fillId="0" borderId="19" xfId="8" applyNumberFormat="1" applyFont="1" applyBorder="1" applyAlignment="1">
      <alignment horizontal="center" vertical="center" wrapText="1"/>
    </xf>
    <xf numFmtId="171" fontId="27" fillId="0" borderId="39" xfId="8" applyNumberFormat="1" applyFont="1" applyBorder="1" applyAlignment="1">
      <alignment horizontal="center" vertical="center" wrapText="1"/>
    </xf>
    <xf numFmtId="171" fontId="27" fillId="0" borderId="40" xfId="8" applyNumberFormat="1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right" vertical="center"/>
    </xf>
    <xf numFmtId="171" fontId="14" fillId="0" borderId="28" xfId="0" applyNumberFormat="1" applyFont="1" applyBorder="1" applyAlignment="1">
      <alignment horizontal="right" vertical="center"/>
    </xf>
    <xf numFmtId="171" fontId="14" fillId="0" borderId="3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171" fontId="19" fillId="0" borderId="4" xfId="0" applyNumberFormat="1" applyFont="1" applyBorder="1" applyAlignment="1">
      <alignment horizontal="right" vertical="center"/>
    </xf>
    <xf numFmtId="171" fontId="19" fillId="0" borderId="23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right" vertical="center"/>
    </xf>
    <xf numFmtId="0" fontId="11" fillId="0" borderId="7" xfId="0" applyFont="1" applyBorder="1" applyAlignment="1">
      <alignment horizontal="left" vertical="center"/>
    </xf>
    <xf numFmtId="171" fontId="11" fillId="0" borderId="0" xfId="0" applyNumberFormat="1" applyFont="1" applyAlignment="1">
      <alignment horizontal="right" vertical="center"/>
    </xf>
    <xf numFmtId="171" fontId="11" fillId="0" borderId="24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171" fontId="12" fillId="0" borderId="0" xfId="0" applyNumberFormat="1" applyFont="1" applyAlignment="1">
      <alignment horizontal="right" vertical="center"/>
    </xf>
    <xf numFmtId="171" fontId="12" fillId="0" borderId="24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right" vertical="center"/>
    </xf>
    <xf numFmtId="0" fontId="18" fillId="0" borderId="3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2" fillId="0" borderId="32" xfId="0" applyFont="1" applyBorder="1" applyAlignment="1">
      <alignment horizontal="right"/>
    </xf>
    <xf numFmtId="0" fontId="11" fillId="0" borderId="9" xfId="0" applyFont="1" applyBorder="1" applyAlignment="1">
      <alignment horizontal="center" vertical="center"/>
    </xf>
    <xf numFmtId="171" fontId="11" fillId="0" borderId="9" xfId="0" applyNumberFormat="1" applyFont="1" applyBorder="1" applyAlignment="1">
      <alignment horizontal="right" vertical="center"/>
    </xf>
    <xf numFmtId="171" fontId="11" fillId="0" borderId="36" xfId="0" applyNumberFormat="1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1" fillId="0" borderId="35" xfId="0" applyFont="1" applyBorder="1" applyAlignment="1">
      <alignment horizontal="right" vertical="center" wrapText="1"/>
    </xf>
    <xf numFmtId="0" fontId="22" fillId="0" borderId="16" xfId="0" applyFont="1" applyBorder="1" applyAlignment="1">
      <alignment horizontal="center" vertical="center" wrapText="1"/>
    </xf>
    <xf numFmtId="171" fontId="22" fillId="0" borderId="16" xfId="0" applyNumberFormat="1" applyFont="1" applyBorder="1" applyAlignment="1">
      <alignment horizontal="right" vertical="center" wrapText="1"/>
    </xf>
    <xf numFmtId="171" fontId="22" fillId="0" borderId="37" xfId="0" applyNumberFormat="1" applyFont="1" applyBorder="1" applyAlignment="1">
      <alignment horizontal="right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71" fontId="19" fillId="0" borderId="16" xfId="0" applyNumberFormat="1" applyFont="1" applyBorder="1" applyAlignment="1">
      <alignment horizontal="center" vertical="center" wrapText="1"/>
    </xf>
    <xf numFmtId="171" fontId="19" fillId="0" borderId="19" xfId="0" applyNumberFormat="1" applyFont="1" applyBorder="1" applyAlignment="1">
      <alignment horizontal="center" vertical="center" wrapText="1"/>
    </xf>
    <xf numFmtId="171" fontId="19" fillId="0" borderId="3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35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right" vertical="center"/>
    </xf>
    <xf numFmtId="0" fontId="4" fillId="0" borderId="2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7" fontId="1" fillId="0" borderId="11" xfId="0" applyNumberFormat="1" applyFont="1" applyBorder="1" applyAlignment="1">
      <alignment horizontal="right"/>
    </xf>
    <xf numFmtId="0" fontId="1" fillId="0" borderId="25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7" fontId="10" fillId="0" borderId="0" xfId="0" applyNumberFormat="1" applyFont="1" applyAlignment="1">
      <alignment horizontal="right" vertical="center" wrapText="1"/>
    </xf>
    <xf numFmtId="0" fontId="10" fillId="0" borderId="2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7" fontId="5" fillId="0" borderId="9" xfId="0" applyNumberFormat="1" applyFont="1" applyBorder="1" applyAlignment="1">
      <alignment horizontal="center" vertical="center" wrapText="1"/>
    </xf>
    <xf numFmtId="167" fontId="5" fillId="0" borderId="9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20">
    <cellStyle name="Comma [0] 2" xfId="4" xr:uid="{00000000-0005-0000-0000-000010000000}"/>
    <cellStyle name="Comma [0] 3" xfId="2" xr:uid="{00000000-0005-0000-0000-00000A000000}"/>
    <cellStyle name="Hyperlink" xfId="1" builtinId="8"/>
    <cellStyle name="Normal" xfId="0" builtinId="0"/>
    <cellStyle name="Normal 2" xfId="6" xr:uid="{00000000-0005-0000-0000-00002E000000}"/>
    <cellStyle name="Normal 3" xfId="7" xr:uid="{00000000-0005-0000-0000-000031000000}"/>
    <cellStyle name="Normal 4" xfId="8" xr:uid="{00000000-0005-0000-0000-000035000000}"/>
    <cellStyle name="쉼표 [0] 2" xfId="10" xr:uid="{00000000-0005-0000-0000-000039000000}"/>
    <cellStyle name="표준 2" xfId="11" xr:uid="{00000000-0005-0000-0000-00003A000000}"/>
    <cellStyle name="常规 10" xfId="9" xr:uid="{00000000-0005-0000-0000-000036000000}"/>
    <cellStyle name="常规 11" xfId="12" xr:uid="{00000000-0005-0000-0000-00003B000000}"/>
    <cellStyle name="常规 12" xfId="5" xr:uid="{00000000-0005-0000-0000-000015000000}"/>
    <cellStyle name="常规 2" xfId="13" xr:uid="{00000000-0005-0000-0000-00003C000000}"/>
    <cellStyle name="常规 3" xfId="14" xr:uid="{00000000-0005-0000-0000-00003D000000}"/>
    <cellStyle name="常规 4" xfId="15" xr:uid="{00000000-0005-0000-0000-00003E000000}"/>
    <cellStyle name="常规 5" xfId="16" xr:uid="{00000000-0005-0000-0000-00003F000000}"/>
    <cellStyle name="常规 6" xfId="3" xr:uid="{00000000-0005-0000-0000-00000F000000}"/>
    <cellStyle name="常规 7" xfId="17" xr:uid="{00000000-0005-0000-0000-000040000000}"/>
    <cellStyle name="常规 8" xfId="18" xr:uid="{00000000-0005-0000-0000-000041000000}"/>
    <cellStyle name="常规 9" xfId="19" xr:uid="{00000000-0005-0000-0000-000042000000}"/>
  </cellStyles>
  <dxfs count="0"/>
  <tableStyles count="0" defaultTableStyle="TableStyleMedium2" defaultPivotStyle="PivotStyleLight16"/>
  <colors>
    <mruColors>
      <color rgb="FF2823F3"/>
      <color rgb="FF0000FF"/>
      <color rgb="FF0000CC"/>
      <color rgb="FFFF0000"/>
      <color rgb="FF00000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876300</xdr:colOff>
      <xdr:row>19</xdr:row>
      <xdr:rowOff>133350</xdr:rowOff>
    </xdr:from>
    <xdr:to>
      <xdr:col>2</xdr:col>
      <xdr:colOff>2498090</xdr:colOff>
      <xdr:row>25</xdr:row>
      <xdr:rowOff>148590</xdr:rowOff>
    </xdr:to>
    <xdr:pic>
      <xdr:nvPicPr>
        <xdr:cNvPr id="3" name="图片 2" descr="lQLPKIN7tPM1D03Mvs0BCrA-UaDffukzMQZmfz5hvi8A_266_19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235" y="4552950"/>
          <a:ext cx="1621790" cy="1158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876300</xdr:colOff>
      <xdr:row>24</xdr:row>
      <xdr:rowOff>133350</xdr:rowOff>
    </xdr:from>
    <xdr:to>
      <xdr:col>2</xdr:col>
      <xdr:colOff>2498090</xdr:colOff>
      <xdr:row>30</xdr:row>
      <xdr:rowOff>148590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235" y="5410200"/>
          <a:ext cx="1621790" cy="1158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389255</xdr:colOff>
      <xdr:row>25</xdr:row>
      <xdr:rowOff>201930</xdr:rowOff>
    </xdr:from>
    <xdr:to>
      <xdr:col>10</xdr:col>
      <xdr:colOff>454025</xdr:colOff>
      <xdr:row>30</xdr:row>
      <xdr:rowOff>171450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3195" y="8096250"/>
          <a:ext cx="1466850" cy="10591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2771775</xdr:colOff>
      <xdr:row>22</xdr:row>
      <xdr:rowOff>29210</xdr:rowOff>
    </xdr:from>
    <xdr:to>
      <xdr:col>5</xdr:col>
      <xdr:colOff>327660</xdr:colOff>
      <xdr:row>27</xdr:row>
      <xdr:rowOff>111125</xdr:rowOff>
    </xdr:to>
    <xdr:pic>
      <xdr:nvPicPr>
        <xdr:cNvPr id="3" name="图片 2" descr="lQLPKIN7tPM1D03Mvs0BCrA-UaDffukzMQZmfz5hvi8A_266_19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8875" y="6410960"/>
          <a:ext cx="1623060" cy="1161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10" workbookViewId="0">
      <selection activeCell="J14" sqref="J14"/>
    </sheetView>
  </sheetViews>
  <sheetFormatPr defaultColWidth="9.109375" defaultRowHeight="14.4"/>
  <cols>
    <col min="1" max="1" width="8.44140625" style="99" customWidth="1"/>
    <col min="2" max="2" width="24.77734375" style="99" customWidth="1"/>
    <col min="3" max="3" width="42" style="101" customWidth="1"/>
    <col min="4" max="4" width="10.5546875" style="102" customWidth="1"/>
    <col min="5" max="5" width="9.21875" style="103" customWidth="1"/>
    <col min="6" max="6" width="11.21875" style="103" customWidth="1"/>
    <col min="7" max="7" width="11.88671875" style="104" customWidth="1"/>
    <col min="8" max="8" width="11.44140625" style="105" customWidth="1"/>
    <col min="9" max="9" width="9.109375" style="99"/>
    <col min="10" max="10" width="11.109375" style="99"/>
    <col min="11" max="16377" width="9.109375" style="99"/>
    <col min="16378" max="16378" width="9.33203125" style="99"/>
    <col min="16379" max="16384" width="9.109375" style="99"/>
  </cols>
  <sheetData>
    <row r="1" spans="1:8" ht="23.25" customHeight="1">
      <c r="A1" s="171" t="s">
        <v>0</v>
      </c>
      <c r="B1" s="172"/>
      <c r="C1" s="172"/>
      <c r="D1" s="172"/>
      <c r="E1" s="172"/>
      <c r="F1" s="172"/>
      <c r="G1" s="172"/>
      <c r="H1" s="173"/>
    </row>
    <row r="2" spans="1:8" ht="15.6">
      <c r="A2" s="106"/>
      <c r="B2" s="107"/>
      <c r="C2" s="108"/>
      <c r="D2" s="109"/>
      <c r="E2" s="110" t="s">
        <v>1</v>
      </c>
      <c r="F2" s="111"/>
      <c r="G2" s="112"/>
      <c r="H2" s="113"/>
    </row>
    <row r="3" spans="1:8" ht="15.6">
      <c r="A3" s="106"/>
      <c r="B3" s="107"/>
      <c r="C3" s="108"/>
      <c r="D3" s="109"/>
      <c r="E3" s="110" t="s">
        <v>2</v>
      </c>
      <c r="F3" s="114">
        <v>45757</v>
      </c>
      <c r="G3" s="112"/>
      <c r="H3" s="113"/>
    </row>
    <row r="4" spans="1:8" ht="15.6">
      <c r="A4" s="115" t="s">
        <v>3</v>
      </c>
      <c r="B4" s="116" t="s">
        <v>4</v>
      </c>
      <c r="C4" s="117"/>
      <c r="D4" s="118"/>
      <c r="E4" s="119"/>
      <c r="F4" s="119"/>
      <c r="G4" s="120"/>
      <c r="H4" s="121"/>
    </row>
    <row r="5" spans="1:8" s="100" customFormat="1" ht="34.5" customHeight="1">
      <c r="A5" s="122"/>
      <c r="B5" s="174" t="s">
        <v>5</v>
      </c>
      <c r="C5" s="174"/>
      <c r="D5" s="175"/>
      <c r="E5" s="176"/>
      <c r="F5" s="176"/>
      <c r="G5" s="177"/>
      <c r="H5" s="178"/>
    </row>
    <row r="6" spans="1:8" ht="15.6">
      <c r="A6" s="106"/>
      <c r="B6" s="107" t="s">
        <v>6</v>
      </c>
      <c r="C6" s="108"/>
      <c r="D6" s="109"/>
      <c r="E6" s="123"/>
      <c r="F6" s="123"/>
      <c r="G6" s="124"/>
      <c r="H6" s="125"/>
    </row>
    <row r="7" spans="1:8" ht="15.6">
      <c r="A7" s="126"/>
      <c r="B7" s="127" t="s">
        <v>7</v>
      </c>
      <c r="C7" s="128"/>
      <c r="D7" s="129"/>
      <c r="E7" s="130"/>
      <c r="F7" s="130"/>
      <c r="G7" s="131"/>
      <c r="H7" s="132"/>
    </row>
    <row r="8" spans="1:8" s="100" customFormat="1" ht="20.25" customHeight="1">
      <c r="A8" s="133" t="s">
        <v>8</v>
      </c>
      <c r="B8" s="134" t="s">
        <v>9</v>
      </c>
      <c r="C8" s="135"/>
      <c r="D8" s="136"/>
      <c r="E8" s="137"/>
      <c r="F8" s="137"/>
      <c r="G8" s="138"/>
      <c r="H8" s="139"/>
    </row>
    <row r="9" spans="1:8" s="100" customFormat="1" ht="37.5" customHeight="1">
      <c r="A9" s="140"/>
      <c r="B9" s="179" t="s">
        <v>10</v>
      </c>
      <c r="C9" s="179"/>
      <c r="D9" s="180"/>
      <c r="E9" s="181"/>
      <c r="F9" s="181"/>
      <c r="G9" s="182"/>
      <c r="H9" s="183"/>
    </row>
    <row r="10" spans="1:8" s="100" customFormat="1" ht="27.75" customHeight="1">
      <c r="A10" s="141" t="s">
        <v>11</v>
      </c>
      <c r="B10" s="142"/>
      <c r="C10" s="143"/>
      <c r="D10" s="144"/>
      <c r="E10" s="145"/>
      <c r="F10" s="145"/>
      <c r="G10" s="146"/>
      <c r="H10" s="113"/>
    </row>
    <row r="11" spans="1:8" s="100" customFormat="1" ht="15.6">
      <c r="A11" s="191" t="s">
        <v>12</v>
      </c>
      <c r="B11" s="184" t="s">
        <v>13</v>
      </c>
      <c r="C11" s="185"/>
      <c r="D11" s="193" t="s">
        <v>14</v>
      </c>
      <c r="E11" s="195" t="s">
        <v>15</v>
      </c>
      <c r="F11" s="195" t="s">
        <v>16</v>
      </c>
      <c r="G11" s="197" t="s">
        <v>17</v>
      </c>
      <c r="H11" s="199" t="s">
        <v>18</v>
      </c>
    </row>
    <row r="12" spans="1:8" s="100" customFormat="1" ht="15.6">
      <c r="A12" s="192"/>
      <c r="B12" s="147" t="s">
        <v>19</v>
      </c>
      <c r="C12" s="148" t="s">
        <v>20</v>
      </c>
      <c r="D12" s="194"/>
      <c r="E12" s="196"/>
      <c r="F12" s="196"/>
      <c r="G12" s="198"/>
      <c r="H12" s="200"/>
    </row>
    <row r="13" spans="1:8" s="100" customFormat="1">
      <c r="A13" s="149">
        <v>1</v>
      </c>
      <c r="B13" s="150" t="s">
        <v>21</v>
      </c>
      <c r="C13" s="150" t="s">
        <v>22</v>
      </c>
      <c r="D13" s="150">
        <v>100</v>
      </c>
      <c r="E13" s="151" t="s">
        <v>23</v>
      </c>
      <c r="F13" s="150" t="s">
        <v>24</v>
      </c>
      <c r="G13" s="152">
        <v>2.3969</v>
      </c>
      <c r="H13" s="153">
        <f>G13*D13</f>
        <v>239.69</v>
      </c>
    </row>
    <row r="14" spans="1:8" s="100" customFormat="1" ht="20.25" customHeight="1">
      <c r="A14" s="156"/>
      <c r="B14" s="148"/>
      <c r="C14" s="148"/>
      <c r="D14" s="157">
        <f>SUM(D13:D13)</f>
        <v>100</v>
      </c>
      <c r="E14" s="158"/>
      <c r="F14" s="159"/>
      <c r="G14" s="160"/>
      <c r="H14" s="157">
        <f>SUM(H13:H13)</f>
        <v>239.69</v>
      </c>
    </row>
    <row r="15" spans="1:8" ht="15.6">
      <c r="A15" s="161"/>
      <c r="B15" s="107"/>
      <c r="C15" s="108"/>
      <c r="D15" s="109"/>
      <c r="E15" s="123"/>
      <c r="F15" s="123"/>
      <c r="G15" s="124"/>
      <c r="H15" s="125"/>
    </row>
    <row r="16" spans="1:8" ht="15.6">
      <c r="A16" s="106"/>
      <c r="B16" s="107" t="s">
        <v>25</v>
      </c>
      <c r="C16" s="108"/>
      <c r="D16" s="109"/>
      <c r="E16" s="123"/>
      <c r="F16" s="123"/>
      <c r="G16" s="124"/>
      <c r="H16" s="125"/>
    </row>
    <row r="17" spans="1:8" ht="15.6">
      <c r="A17" s="106"/>
      <c r="B17" s="107" t="s">
        <v>26</v>
      </c>
      <c r="C17" s="108"/>
      <c r="D17" s="109"/>
      <c r="E17" s="123"/>
      <c r="F17" s="123"/>
      <c r="G17" s="124"/>
      <c r="H17" s="125"/>
    </row>
    <row r="18" spans="1:8" ht="15.6">
      <c r="A18" s="106"/>
      <c r="B18" s="162" t="s">
        <v>27</v>
      </c>
      <c r="C18" s="108"/>
      <c r="D18" s="109"/>
      <c r="E18" s="123"/>
      <c r="F18" s="123"/>
      <c r="G18" s="124"/>
      <c r="H18" s="125"/>
    </row>
    <row r="19" spans="1:8" ht="15.6">
      <c r="A19" s="106"/>
      <c r="B19" s="107" t="s">
        <v>28</v>
      </c>
      <c r="C19" s="108"/>
      <c r="D19" s="109"/>
      <c r="E19" s="123"/>
      <c r="F19" s="123"/>
      <c r="G19" s="124"/>
      <c r="H19" s="125"/>
    </row>
    <row r="20" spans="1:8" ht="15.6">
      <c r="A20" s="106"/>
      <c r="B20" s="107" t="s">
        <v>29</v>
      </c>
      <c r="C20" s="108"/>
      <c r="D20" s="109"/>
      <c r="E20" s="123"/>
      <c r="F20" s="123"/>
      <c r="G20" s="124"/>
      <c r="H20" s="125"/>
    </row>
    <row r="21" spans="1:8" ht="15.6">
      <c r="A21" s="106"/>
      <c r="B21" s="107" t="s">
        <v>30</v>
      </c>
      <c r="C21" s="108"/>
      <c r="D21" s="109"/>
      <c r="E21" s="123"/>
      <c r="F21" s="123"/>
      <c r="G21" s="124"/>
      <c r="H21" s="125"/>
    </row>
    <row r="22" spans="1:8" ht="15.6">
      <c r="A22" s="106"/>
      <c r="B22" s="107" t="s">
        <v>31</v>
      </c>
      <c r="C22" s="108"/>
      <c r="D22" s="109"/>
      <c r="E22" s="123"/>
      <c r="F22" s="123"/>
      <c r="G22" s="124"/>
      <c r="H22" s="125"/>
    </row>
    <row r="23" spans="1:8" ht="17.399999999999999">
      <c r="A23" s="186" t="s">
        <v>32</v>
      </c>
      <c r="B23" s="187"/>
      <c r="C23" s="188"/>
      <c r="D23" s="163"/>
      <c r="E23" s="187" t="s">
        <v>33</v>
      </c>
      <c r="F23" s="187"/>
      <c r="G23" s="189"/>
      <c r="H23" s="190"/>
    </row>
    <row r="24" spans="1:8" ht="15.6">
      <c r="A24" s="106"/>
      <c r="B24" s="107"/>
      <c r="C24" s="108"/>
      <c r="D24" s="109"/>
      <c r="E24" s="123"/>
      <c r="F24" s="123"/>
      <c r="G24" s="124"/>
      <c r="H24" s="125"/>
    </row>
    <row r="25" spans="1:8" ht="15.6">
      <c r="A25" s="106"/>
      <c r="B25" s="107"/>
      <c r="C25" s="108"/>
      <c r="D25" s="109"/>
      <c r="E25" s="123"/>
      <c r="F25" s="123"/>
      <c r="G25" s="124"/>
      <c r="H25" s="125"/>
    </row>
    <row r="26" spans="1:8" ht="15.6">
      <c r="A26" s="106"/>
      <c r="B26" s="107"/>
      <c r="C26" s="108"/>
      <c r="D26" s="109"/>
      <c r="E26" s="123"/>
      <c r="F26" s="123"/>
      <c r="G26" s="124"/>
      <c r="H26" s="125"/>
    </row>
    <row r="27" spans="1:8" ht="15.6">
      <c r="A27" s="106"/>
      <c r="B27" s="107"/>
      <c r="C27" s="108"/>
      <c r="D27" s="109"/>
      <c r="E27" s="123"/>
      <c r="F27" s="123"/>
      <c r="G27" s="124"/>
      <c r="H27" s="125"/>
    </row>
    <row r="28" spans="1:8" ht="15.6">
      <c r="A28" s="164"/>
      <c r="B28" s="165"/>
      <c r="C28" s="166"/>
      <c r="D28" s="167"/>
      <c r="E28" s="168"/>
      <c r="F28" s="168"/>
      <c r="G28" s="169"/>
      <c r="H28" s="170"/>
    </row>
  </sheetData>
  <mergeCells count="12">
    <mergeCell ref="A1:H1"/>
    <mergeCell ref="B5:H5"/>
    <mergeCell ref="B9:H9"/>
    <mergeCell ref="B11:C11"/>
    <mergeCell ref="A23:C23"/>
    <mergeCell ref="E23:H23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A10" workbookViewId="0">
      <selection activeCell="K16" sqref="K16"/>
    </sheetView>
  </sheetViews>
  <sheetFormatPr defaultColWidth="9.109375" defaultRowHeight="14.4"/>
  <cols>
    <col min="1" max="1" width="8.44140625" style="99" customWidth="1"/>
    <col min="2" max="2" width="24.77734375" style="99" customWidth="1"/>
    <col min="3" max="3" width="42" style="101" customWidth="1"/>
    <col min="4" max="4" width="10.5546875" style="102" customWidth="1"/>
    <col min="5" max="5" width="9.21875" style="103" customWidth="1"/>
    <col min="6" max="6" width="11.21875" style="103" customWidth="1"/>
    <col min="7" max="7" width="11.88671875" style="104" customWidth="1"/>
    <col min="8" max="8" width="11.44140625" style="105" customWidth="1"/>
    <col min="9" max="9" width="9.109375" style="99"/>
    <col min="10" max="10" width="11.109375" style="99"/>
    <col min="11" max="16377" width="9.109375" style="99"/>
    <col min="16378" max="16378" width="9.33203125" style="99"/>
    <col min="16379" max="16384" width="9.109375" style="99"/>
  </cols>
  <sheetData>
    <row r="1" spans="1:8" ht="23.25" customHeight="1">
      <c r="A1" s="171" t="s">
        <v>0</v>
      </c>
      <c r="B1" s="172"/>
      <c r="C1" s="172"/>
      <c r="D1" s="172"/>
      <c r="E1" s="172"/>
      <c r="F1" s="172"/>
      <c r="G1" s="172"/>
      <c r="H1" s="173"/>
    </row>
    <row r="2" spans="1:8" ht="15.6">
      <c r="A2" s="106"/>
      <c r="B2" s="107"/>
      <c r="C2" s="108"/>
      <c r="D2" s="109"/>
      <c r="E2" s="110" t="s">
        <v>34</v>
      </c>
      <c r="F2" s="111"/>
      <c r="G2" s="112"/>
      <c r="H2" s="113"/>
    </row>
    <row r="3" spans="1:8" ht="15.6">
      <c r="A3" s="106"/>
      <c r="B3" s="107"/>
      <c r="C3" s="108"/>
      <c r="D3" s="109"/>
      <c r="E3" s="110" t="s">
        <v>2</v>
      </c>
      <c r="F3" s="114">
        <v>45770</v>
      </c>
      <c r="G3" s="112"/>
      <c r="H3" s="113"/>
    </row>
    <row r="4" spans="1:8" ht="15.6">
      <c r="A4" s="115" t="s">
        <v>3</v>
      </c>
      <c r="B4" s="116" t="s">
        <v>4</v>
      </c>
      <c r="C4" s="117"/>
      <c r="D4" s="118"/>
      <c r="E4" s="119"/>
      <c r="F4" s="119"/>
      <c r="G4" s="120"/>
      <c r="H4" s="121"/>
    </row>
    <row r="5" spans="1:8" s="100" customFormat="1" ht="34.5" customHeight="1">
      <c r="A5" s="122"/>
      <c r="B5" s="174" t="s">
        <v>5</v>
      </c>
      <c r="C5" s="174"/>
      <c r="D5" s="175"/>
      <c r="E5" s="176"/>
      <c r="F5" s="176"/>
      <c r="G5" s="177"/>
      <c r="H5" s="178"/>
    </row>
    <row r="6" spans="1:8" ht="15.6">
      <c r="A6" s="106"/>
      <c r="B6" s="107" t="s">
        <v>6</v>
      </c>
      <c r="C6" s="108"/>
      <c r="D6" s="109"/>
      <c r="E6" s="123"/>
      <c r="F6" s="123"/>
      <c r="G6" s="124"/>
      <c r="H6" s="125"/>
    </row>
    <row r="7" spans="1:8" ht="15.6">
      <c r="A7" s="126"/>
      <c r="B7" s="127" t="s">
        <v>7</v>
      </c>
      <c r="C7" s="128"/>
      <c r="D7" s="129"/>
      <c r="E7" s="130"/>
      <c r="F7" s="130"/>
      <c r="G7" s="131"/>
      <c r="H7" s="132"/>
    </row>
    <row r="8" spans="1:8" s="100" customFormat="1" ht="20.25" customHeight="1">
      <c r="A8" s="133" t="s">
        <v>8</v>
      </c>
      <c r="B8" s="134" t="s">
        <v>9</v>
      </c>
      <c r="C8" s="135"/>
      <c r="D8" s="136"/>
      <c r="E8" s="137"/>
      <c r="F8" s="137"/>
      <c r="G8" s="138"/>
      <c r="H8" s="139"/>
    </row>
    <row r="9" spans="1:8" s="100" customFormat="1" ht="37.5" customHeight="1">
      <c r="A9" s="140"/>
      <c r="B9" s="179" t="s">
        <v>10</v>
      </c>
      <c r="C9" s="179"/>
      <c r="D9" s="180"/>
      <c r="E9" s="181"/>
      <c r="F9" s="181"/>
      <c r="G9" s="182"/>
      <c r="H9" s="183"/>
    </row>
    <row r="10" spans="1:8" s="100" customFormat="1" ht="27.75" customHeight="1">
      <c r="A10" s="141" t="s">
        <v>11</v>
      </c>
      <c r="B10" s="142"/>
      <c r="C10" s="143"/>
      <c r="D10" s="144"/>
      <c r="E10" s="145"/>
      <c r="F10" s="145"/>
      <c r="G10" s="146"/>
      <c r="H10" s="113"/>
    </row>
    <row r="11" spans="1:8" s="100" customFormat="1" ht="15.6">
      <c r="A11" s="191" t="s">
        <v>12</v>
      </c>
      <c r="B11" s="184" t="s">
        <v>13</v>
      </c>
      <c r="C11" s="185"/>
      <c r="D11" s="193" t="s">
        <v>14</v>
      </c>
      <c r="E11" s="195" t="s">
        <v>15</v>
      </c>
      <c r="F11" s="195" t="s">
        <v>16</v>
      </c>
      <c r="G11" s="197" t="s">
        <v>17</v>
      </c>
      <c r="H11" s="199" t="s">
        <v>18</v>
      </c>
    </row>
    <row r="12" spans="1:8" s="100" customFormat="1" ht="15.6">
      <c r="A12" s="192"/>
      <c r="B12" s="147" t="s">
        <v>19</v>
      </c>
      <c r="C12" s="148" t="s">
        <v>20</v>
      </c>
      <c r="D12" s="194"/>
      <c r="E12" s="196"/>
      <c r="F12" s="196"/>
      <c r="G12" s="198"/>
      <c r="H12" s="200"/>
    </row>
    <row r="13" spans="1:8" s="100" customFormat="1">
      <c r="A13" s="149">
        <v>1</v>
      </c>
      <c r="B13" s="150" t="s">
        <v>35</v>
      </c>
      <c r="C13" s="150" t="s">
        <v>36</v>
      </c>
      <c r="D13" s="150">
        <v>1</v>
      </c>
      <c r="E13" s="151" t="s">
        <v>37</v>
      </c>
      <c r="F13" s="150" t="s">
        <v>24</v>
      </c>
      <c r="G13" s="152">
        <v>39.947800000000001</v>
      </c>
      <c r="H13" s="153">
        <f t="shared" ref="H13:H18" si="0">G13*D13</f>
        <v>39.947800000000001</v>
      </c>
    </row>
    <row r="14" spans="1:8" s="100" customFormat="1" ht="26.4">
      <c r="A14" s="149">
        <v>2</v>
      </c>
      <c r="B14" s="150" t="s">
        <v>38</v>
      </c>
      <c r="C14" s="154" t="s">
        <v>39</v>
      </c>
      <c r="D14" s="150">
        <v>1</v>
      </c>
      <c r="E14" s="151" t="s">
        <v>37</v>
      </c>
      <c r="F14" s="150" t="s">
        <v>24</v>
      </c>
      <c r="G14" s="155">
        <v>3.3290000000000002</v>
      </c>
      <c r="H14" s="153">
        <f t="shared" si="0"/>
        <v>3.3290000000000002</v>
      </c>
    </row>
    <row r="15" spans="1:8" s="100" customFormat="1" ht="26.4">
      <c r="A15" s="149">
        <v>3</v>
      </c>
      <c r="B15" s="150" t="s">
        <v>38</v>
      </c>
      <c r="C15" s="154" t="s">
        <v>40</v>
      </c>
      <c r="D15" s="150">
        <v>1</v>
      </c>
      <c r="E15" s="151" t="s">
        <v>37</v>
      </c>
      <c r="F15" s="150" t="s">
        <v>24</v>
      </c>
      <c r="G15" s="155">
        <v>2.9295</v>
      </c>
      <c r="H15" s="153">
        <f t="shared" si="0"/>
        <v>2.9295</v>
      </c>
    </row>
    <row r="16" spans="1:8" s="100" customFormat="1" ht="26.4">
      <c r="A16" s="149">
        <v>4</v>
      </c>
      <c r="B16" s="150" t="s">
        <v>38</v>
      </c>
      <c r="C16" s="154" t="s">
        <v>41</v>
      </c>
      <c r="D16" s="150">
        <v>1</v>
      </c>
      <c r="E16" s="151" t="s">
        <v>37</v>
      </c>
      <c r="F16" s="150" t="s">
        <v>24</v>
      </c>
      <c r="G16" s="155">
        <v>10.652799999999999</v>
      </c>
      <c r="H16" s="153">
        <f t="shared" si="0"/>
        <v>10.652799999999999</v>
      </c>
    </row>
    <row r="17" spans="1:8" s="100" customFormat="1">
      <c r="A17" s="149">
        <v>5</v>
      </c>
      <c r="B17" s="150" t="s">
        <v>38</v>
      </c>
      <c r="C17" s="154" t="s">
        <v>42</v>
      </c>
      <c r="D17" s="150">
        <v>1</v>
      </c>
      <c r="E17" s="151" t="s">
        <v>37</v>
      </c>
      <c r="F17" s="150" t="s">
        <v>24</v>
      </c>
      <c r="G17" s="155">
        <v>10.652799999999999</v>
      </c>
      <c r="H17" s="153">
        <f t="shared" si="0"/>
        <v>10.652799999999999</v>
      </c>
    </row>
    <row r="18" spans="1:8" s="100" customFormat="1">
      <c r="A18" s="149">
        <v>6</v>
      </c>
      <c r="B18" s="150" t="s">
        <v>38</v>
      </c>
      <c r="C18" s="154" t="s">
        <v>43</v>
      </c>
      <c r="D18" s="150">
        <v>1</v>
      </c>
      <c r="E18" s="151" t="s">
        <v>37</v>
      </c>
      <c r="F18" s="150" t="s">
        <v>24</v>
      </c>
      <c r="G18" s="155">
        <v>113.18559999999999</v>
      </c>
      <c r="H18" s="153">
        <f t="shared" si="0"/>
        <v>113.18559999999999</v>
      </c>
    </row>
    <row r="19" spans="1:8" s="100" customFormat="1" ht="20.25" customHeight="1">
      <c r="A19" s="156"/>
      <c r="B19" s="148"/>
      <c r="C19" s="148"/>
      <c r="D19" s="157">
        <f>SUM(D13:D18)</f>
        <v>6</v>
      </c>
      <c r="E19" s="158"/>
      <c r="F19" s="159"/>
      <c r="G19" s="160"/>
      <c r="H19" s="157">
        <f>SUM(H13:H18)</f>
        <v>180.69749999999999</v>
      </c>
    </row>
    <row r="20" spans="1:8" ht="15.6">
      <c r="A20" s="161"/>
      <c r="B20" s="107"/>
      <c r="C20" s="108"/>
      <c r="D20" s="109"/>
      <c r="E20" s="123"/>
      <c r="F20" s="123"/>
      <c r="G20" s="124"/>
      <c r="H20" s="125"/>
    </row>
    <row r="21" spans="1:8" ht="15.6">
      <c r="A21" s="106"/>
      <c r="B21" s="107" t="s">
        <v>25</v>
      </c>
      <c r="C21" s="108"/>
      <c r="D21" s="109"/>
      <c r="E21" s="123"/>
      <c r="F21" s="123"/>
      <c r="G21" s="124"/>
      <c r="H21" s="125"/>
    </row>
    <row r="22" spans="1:8" ht="15.6">
      <c r="A22" s="106"/>
      <c r="B22" s="107" t="s">
        <v>26</v>
      </c>
      <c r="C22" s="108"/>
      <c r="D22" s="109"/>
      <c r="E22" s="123"/>
      <c r="F22" s="123"/>
      <c r="G22" s="124"/>
      <c r="H22" s="125"/>
    </row>
    <row r="23" spans="1:8" ht="15.6">
      <c r="A23" s="106"/>
      <c r="B23" s="162" t="s">
        <v>27</v>
      </c>
      <c r="C23" s="108"/>
      <c r="D23" s="109"/>
      <c r="E23" s="123"/>
      <c r="F23" s="123"/>
      <c r="G23" s="124"/>
      <c r="H23" s="125"/>
    </row>
    <row r="24" spans="1:8" ht="15.6">
      <c r="A24" s="106"/>
      <c r="B24" s="107" t="s">
        <v>28</v>
      </c>
      <c r="C24" s="108"/>
      <c r="D24" s="109"/>
      <c r="E24" s="123"/>
      <c r="F24" s="123"/>
      <c r="G24" s="124"/>
      <c r="H24" s="125"/>
    </row>
    <row r="25" spans="1:8" ht="15.6">
      <c r="A25" s="106"/>
      <c r="B25" s="107" t="s">
        <v>29</v>
      </c>
      <c r="C25" s="108"/>
      <c r="D25" s="109"/>
      <c r="E25" s="123"/>
      <c r="F25" s="123"/>
      <c r="G25" s="124"/>
      <c r="H25" s="125"/>
    </row>
    <row r="26" spans="1:8" ht="15.6">
      <c r="A26" s="106"/>
      <c r="B26" s="107" t="s">
        <v>30</v>
      </c>
      <c r="C26" s="108"/>
      <c r="D26" s="109"/>
      <c r="E26" s="123"/>
      <c r="F26" s="123"/>
      <c r="G26" s="124"/>
      <c r="H26" s="125"/>
    </row>
    <row r="27" spans="1:8" ht="15.6">
      <c r="A27" s="106"/>
      <c r="B27" s="107" t="s">
        <v>31</v>
      </c>
      <c r="C27" s="108"/>
      <c r="D27" s="109"/>
      <c r="E27" s="123"/>
      <c r="F27" s="123"/>
      <c r="G27" s="124"/>
      <c r="H27" s="125"/>
    </row>
    <row r="28" spans="1:8" ht="17.399999999999999">
      <c r="A28" s="186" t="s">
        <v>32</v>
      </c>
      <c r="B28" s="187"/>
      <c r="C28" s="188"/>
      <c r="D28" s="163"/>
      <c r="E28" s="187" t="s">
        <v>33</v>
      </c>
      <c r="F28" s="187"/>
      <c r="G28" s="189"/>
      <c r="H28" s="190"/>
    </row>
    <row r="29" spans="1:8" ht="15.6">
      <c r="A29" s="106"/>
      <c r="B29" s="107"/>
      <c r="C29" s="108"/>
      <c r="D29" s="109"/>
      <c r="E29" s="123"/>
      <c r="F29" s="123"/>
      <c r="G29" s="124"/>
      <c r="H29" s="125"/>
    </row>
    <row r="30" spans="1:8" ht="15.6">
      <c r="A30" s="106"/>
      <c r="B30" s="107"/>
      <c r="C30" s="108"/>
      <c r="D30" s="109"/>
      <c r="E30" s="123"/>
      <c r="F30" s="123"/>
      <c r="G30" s="124"/>
      <c r="H30" s="125"/>
    </row>
    <row r="31" spans="1:8" ht="15.6">
      <c r="A31" s="106"/>
      <c r="B31" s="107"/>
      <c r="C31" s="108"/>
      <c r="D31" s="109"/>
      <c r="E31" s="123"/>
      <c r="F31" s="123"/>
      <c r="G31" s="124"/>
      <c r="H31" s="125"/>
    </row>
    <row r="32" spans="1:8" ht="15.6">
      <c r="A32" s="106"/>
      <c r="B32" s="107"/>
      <c r="C32" s="108"/>
      <c r="D32" s="109"/>
      <c r="E32" s="123"/>
      <c r="F32" s="123"/>
      <c r="G32" s="124"/>
      <c r="H32" s="125"/>
    </row>
    <row r="33" spans="1:8" ht="15.6">
      <c r="A33" s="164"/>
      <c r="B33" s="165"/>
      <c r="C33" s="166"/>
      <c r="D33" s="167"/>
      <c r="E33" s="168"/>
      <c r="F33" s="168"/>
      <c r="G33" s="169"/>
      <c r="H33" s="170"/>
    </row>
  </sheetData>
  <mergeCells count="12">
    <mergeCell ref="A1:H1"/>
    <mergeCell ref="B5:H5"/>
    <mergeCell ref="B9:H9"/>
    <mergeCell ref="B11:C11"/>
    <mergeCell ref="A28:C28"/>
    <mergeCell ref="E28:H28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L32"/>
  <sheetViews>
    <sheetView tabSelected="1" topLeftCell="A19" workbookViewId="0">
      <selection activeCell="F28" sqref="F28"/>
    </sheetView>
  </sheetViews>
  <sheetFormatPr defaultColWidth="9" defaultRowHeight="14.4"/>
  <cols>
    <col min="1" max="1" width="5.109375" style="49" customWidth="1"/>
    <col min="2" max="2" width="17" style="49" customWidth="1"/>
    <col min="3" max="3" width="8.44140625" style="49" customWidth="1"/>
    <col min="4" max="4" width="19.109375" style="49" customWidth="1"/>
    <col min="5" max="5" width="21.44140625" style="49" customWidth="1"/>
    <col min="6" max="6" width="30" style="49" customWidth="1"/>
    <col min="7" max="7" width="12.44140625" style="3" customWidth="1"/>
    <col min="8" max="8" width="12.77734375" style="49" customWidth="1"/>
    <col min="9" max="9" width="12.44140625" style="50" customWidth="1"/>
    <col min="10" max="10" width="8" style="51" customWidth="1"/>
    <col min="11" max="11" width="11.88671875" style="52" customWidth="1"/>
    <col min="12" max="12" width="15" style="52" customWidth="1"/>
    <col min="13" max="14" width="11.44140625" style="49"/>
    <col min="15" max="16384" width="9" style="49"/>
  </cols>
  <sheetData>
    <row r="1" spans="1:12" ht="37.5" customHeight="1">
      <c r="A1" s="201" t="s">
        <v>44</v>
      </c>
      <c r="B1" s="202"/>
      <c r="C1" s="202"/>
      <c r="D1" s="202"/>
      <c r="E1" s="202"/>
      <c r="F1" s="202"/>
      <c r="G1" s="203"/>
      <c r="H1" s="202"/>
      <c r="I1" s="204"/>
      <c r="J1" s="202"/>
      <c r="K1" s="205"/>
      <c r="L1" s="206"/>
    </row>
    <row r="2" spans="1:12" s="45" customFormat="1" ht="20.100000000000001" customHeight="1">
      <c r="A2" s="207" t="s">
        <v>8</v>
      </c>
      <c r="B2" s="208"/>
      <c r="C2" s="53"/>
      <c r="D2" s="53"/>
      <c r="E2" s="53"/>
      <c r="F2" s="53"/>
      <c r="G2" s="54"/>
      <c r="H2" s="55"/>
      <c r="I2" s="76"/>
      <c r="J2" s="209" t="s">
        <v>45</v>
      </c>
      <c r="K2" s="210"/>
      <c r="L2" s="211"/>
    </row>
    <row r="3" spans="1:12" s="45" customFormat="1" ht="20.100000000000001" customHeight="1">
      <c r="A3" s="56"/>
      <c r="B3" s="212" t="s">
        <v>46</v>
      </c>
      <c r="C3" s="212"/>
      <c r="D3" s="212"/>
      <c r="E3" s="212"/>
      <c r="F3" s="212"/>
      <c r="G3" s="213"/>
      <c r="H3" s="212"/>
      <c r="I3" s="214"/>
      <c r="J3" s="215" t="s">
        <v>47</v>
      </c>
      <c r="K3" s="216"/>
      <c r="L3" s="217"/>
    </row>
    <row r="4" spans="1:12" s="45" customFormat="1" ht="20.100000000000001" customHeight="1">
      <c r="A4" s="56"/>
      <c r="B4" s="252" t="s">
        <v>10</v>
      </c>
      <c r="C4" s="252"/>
      <c r="D4" s="252"/>
      <c r="E4" s="252"/>
      <c r="F4" s="252"/>
      <c r="G4" s="253"/>
      <c r="H4" s="252"/>
      <c r="I4" s="254"/>
      <c r="J4" s="215" t="s">
        <v>48</v>
      </c>
      <c r="K4" s="216"/>
      <c r="L4" s="217"/>
    </row>
    <row r="5" spans="1:12" s="45" customFormat="1" ht="20.100000000000001" customHeight="1">
      <c r="A5" s="56"/>
      <c r="B5" s="252"/>
      <c r="C5" s="252"/>
      <c r="D5" s="252"/>
      <c r="E5" s="252"/>
      <c r="F5" s="252"/>
      <c r="G5" s="253"/>
      <c r="H5" s="252"/>
      <c r="I5" s="254"/>
      <c r="J5" s="215" t="s">
        <v>49</v>
      </c>
      <c r="K5" s="216"/>
      <c r="L5" s="217"/>
    </row>
    <row r="6" spans="1:12" s="45" customFormat="1" ht="21.75" customHeight="1">
      <c r="A6" s="57"/>
      <c r="B6" s="58" t="s">
        <v>50</v>
      </c>
      <c r="C6" s="59"/>
      <c r="D6" s="59"/>
      <c r="E6" s="59"/>
      <c r="F6" s="60"/>
      <c r="G6" s="61"/>
      <c r="H6" s="62"/>
      <c r="I6" s="77"/>
      <c r="J6" s="215" t="s">
        <v>51</v>
      </c>
      <c r="K6" s="216"/>
      <c r="L6" s="217"/>
    </row>
    <row r="7" spans="1:12" s="45" customFormat="1" ht="20.100000000000001" customHeight="1">
      <c r="A7" s="207" t="s">
        <v>3</v>
      </c>
      <c r="B7" s="208"/>
      <c r="C7" s="53"/>
      <c r="D7" s="53"/>
      <c r="E7" s="53"/>
      <c r="F7" s="53"/>
      <c r="G7" s="54"/>
      <c r="H7" s="55"/>
      <c r="I7" s="76"/>
      <c r="J7" s="215" t="s">
        <v>52</v>
      </c>
      <c r="K7" s="216"/>
      <c r="L7" s="217"/>
    </row>
    <row r="8" spans="1:12" s="45" customFormat="1" ht="20.100000000000001" customHeight="1">
      <c r="A8" s="56"/>
      <c r="B8" s="212" t="s">
        <v>53</v>
      </c>
      <c r="C8" s="212"/>
      <c r="D8" s="212"/>
      <c r="E8" s="212"/>
      <c r="F8" s="212"/>
      <c r="G8" s="213"/>
      <c r="H8" s="212"/>
      <c r="I8" s="214"/>
      <c r="J8" s="215" t="s">
        <v>54</v>
      </c>
      <c r="K8" s="216"/>
      <c r="L8" s="217"/>
    </row>
    <row r="9" spans="1:12" s="45" customFormat="1" ht="21.75" customHeight="1">
      <c r="A9" s="56"/>
      <c r="B9" s="252" t="s">
        <v>55</v>
      </c>
      <c r="C9" s="252"/>
      <c r="D9" s="252"/>
      <c r="E9" s="252"/>
      <c r="F9" s="252"/>
      <c r="G9" s="253"/>
      <c r="H9" s="252"/>
      <c r="I9" s="254"/>
      <c r="J9" s="215" t="s">
        <v>56</v>
      </c>
      <c r="K9" s="216"/>
      <c r="L9" s="217"/>
    </row>
    <row r="10" spans="1:12" s="45" customFormat="1" ht="24" customHeight="1">
      <c r="A10" s="56"/>
      <c r="B10" s="252"/>
      <c r="C10" s="252"/>
      <c r="D10" s="252"/>
      <c r="E10" s="252"/>
      <c r="F10" s="252"/>
      <c r="G10" s="253"/>
      <c r="H10" s="252"/>
      <c r="I10" s="254"/>
      <c r="J10" s="218" t="s">
        <v>57</v>
      </c>
      <c r="K10" s="219"/>
      <c r="L10" s="220"/>
    </row>
    <row r="11" spans="1:12" s="45" customFormat="1" ht="20.100000000000001" customHeight="1">
      <c r="A11" s="56"/>
      <c r="B11" s="221" t="s">
        <v>58</v>
      </c>
      <c r="C11" s="221"/>
      <c r="D11" s="221"/>
      <c r="E11" s="221"/>
      <c r="F11" s="221"/>
      <c r="G11" s="222"/>
      <c r="H11" s="221"/>
      <c r="I11" s="223"/>
      <c r="J11" s="215" t="s">
        <v>59</v>
      </c>
      <c r="K11" s="216"/>
      <c r="L11" s="217"/>
    </row>
    <row r="12" spans="1:12" s="45" customFormat="1" ht="20.100000000000001" customHeight="1">
      <c r="A12" s="63"/>
      <c r="B12" s="64" t="s">
        <v>60</v>
      </c>
      <c r="C12" s="64"/>
      <c r="D12" s="64"/>
      <c r="E12" s="64"/>
      <c r="F12" s="65"/>
      <c r="G12" s="66"/>
      <c r="H12" s="64"/>
      <c r="I12" s="78"/>
      <c r="J12" s="215"/>
      <c r="K12" s="216"/>
      <c r="L12" s="217"/>
    </row>
    <row r="13" spans="1:12" s="45" customFormat="1" ht="30" customHeight="1">
      <c r="A13" s="224" t="s">
        <v>61</v>
      </c>
      <c r="B13" s="225"/>
      <c r="C13" s="225"/>
      <c r="D13" s="225"/>
      <c r="E13" s="225"/>
      <c r="F13" s="225"/>
      <c r="G13" s="226"/>
      <c r="H13" s="227"/>
      <c r="I13" s="228"/>
      <c r="J13" s="229"/>
      <c r="K13" s="230"/>
      <c r="L13" s="231"/>
    </row>
    <row r="14" spans="1:12" s="46" customFormat="1" ht="26.25" customHeight="1">
      <c r="A14" s="241" t="s">
        <v>12</v>
      </c>
      <c r="B14" s="232" t="s">
        <v>62</v>
      </c>
      <c r="C14" s="233"/>
      <c r="D14" s="233"/>
      <c r="E14" s="233"/>
      <c r="F14" s="234"/>
      <c r="G14" s="243" t="s">
        <v>63</v>
      </c>
      <c r="H14" s="245" t="s">
        <v>64</v>
      </c>
      <c r="I14" s="243" t="s">
        <v>14</v>
      </c>
      <c r="J14" s="247" t="s">
        <v>15</v>
      </c>
      <c r="K14" s="249" t="s">
        <v>17</v>
      </c>
      <c r="L14" s="251" t="s">
        <v>18</v>
      </c>
    </row>
    <row r="15" spans="1:12" s="46" customFormat="1" ht="39.6">
      <c r="A15" s="242"/>
      <c r="B15" s="67" t="s">
        <v>65</v>
      </c>
      <c r="C15" s="67" t="s">
        <v>66</v>
      </c>
      <c r="D15" s="67" t="s">
        <v>67</v>
      </c>
      <c r="E15" s="67" t="s">
        <v>68</v>
      </c>
      <c r="F15" s="67" t="s">
        <v>20</v>
      </c>
      <c r="G15" s="244"/>
      <c r="H15" s="246"/>
      <c r="I15" s="244"/>
      <c r="J15" s="248"/>
      <c r="K15" s="250"/>
      <c r="L15" s="251"/>
    </row>
    <row r="16" spans="1:12" s="47" customFormat="1" ht="28.95" customHeight="1">
      <c r="A16" s="14">
        <v>1</v>
      </c>
      <c r="B16" s="15" t="s">
        <v>69</v>
      </c>
      <c r="C16" s="16">
        <v>1</v>
      </c>
      <c r="D16" s="16" t="s">
        <v>21</v>
      </c>
      <c r="E16" s="68" t="s">
        <v>70</v>
      </c>
      <c r="F16" s="69" t="s">
        <v>22</v>
      </c>
      <c r="G16" s="16">
        <v>39191010</v>
      </c>
      <c r="H16" s="16" t="s">
        <v>24</v>
      </c>
      <c r="I16" s="16">
        <v>100</v>
      </c>
      <c r="J16" s="16" t="s">
        <v>23</v>
      </c>
      <c r="K16" s="79">
        <v>2.3969</v>
      </c>
      <c r="L16" s="80">
        <f t="shared" ref="L16:L22" si="0">ROUND(K16*I16,4)</f>
        <v>239.69</v>
      </c>
    </row>
    <row r="17" spans="1:12" s="47" customFormat="1" ht="28.95" customHeight="1">
      <c r="A17" s="14">
        <v>2</v>
      </c>
      <c r="B17" s="15" t="s">
        <v>71</v>
      </c>
      <c r="C17" s="16">
        <v>2</v>
      </c>
      <c r="D17" s="16" t="s">
        <v>35</v>
      </c>
      <c r="E17" s="68" t="s">
        <v>72</v>
      </c>
      <c r="F17" s="69" t="s">
        <v>36</v>
      </c>
      <c r="G17" s="16">
        <v>90308410</v>
      </c>
      <c r="H17" s="16" t="s">
        <v>24</v>
      </c>
      <c r="I17" s="16">
        <v>1</v>
      </c>
      <c r="J17" s="16" t="s">
        <v>37</v>
      </c>
      <c r="K17" s="79">
        <v>39.947800000000001</v>
      </c>
      <c r="L17" s="80">
        <f t="shared" si="0"/>
        <v>39.947800000000001</v>
      </c>
    </row>
    <row r="18" spans="1:12" s="47" customFormat="1" ht="28.95" customHeight="1">
      <c r="A18" s="14">
        <v>3</v>
      </c>
      <c r="B18" s="15" t="s">
        <v>71</v>
      </c>
      <c r="C18" s="16">
        <v>3</v>
      </c>
      <c r="D18" s="16" t="s">
        <v>38</v>
      </c>
      <c r="E18" s="68" t="s">
        <v>73</v>
      </c>
      <c r="F18" s="69" t="s">
        <v>39</v>
      </c>
      <c r="G18" s="16">
        <v>84662090</v>
      </c>
      <c r="H18" s="16" t="s">
        <v>24</v>
      </c>
      <c r="I18" s="16">
        <v>1</v>
      </c>
      <c r="J18" s="16" t="s">
        <v>37</v>
      </c>
      <c r="K18" s="79">
        <v>3.3290000000000002</v>
      </c>
      <c r="L18" s="80">
        <f t="shared" si="0"/>
        <v>3.3290000000000002</v>
      </c>
    </row>
    <row r="19" spans="1:12" s="47" customFormat="1" ht="28.95" customHeight="1">
      <c r="A19" s="14">
        <v>4</v>
      </c>
      <c r="B19" s="15" t="s">
        <v>71</v>
      </c>
      <c r="C19" s="16">
        <v>4</v>
      </c>
      <c r="D19" s="16" t="s">
        <v>38</v>
      </c>
      <c r="E19" s="68" t="s">
        <v>74</v>
      </c>
      <c r="F19" s="69" t="s">
        <v>75</v>
      </c>
      <c r="G19" s="16">
        <v>84662090</v>
      </c>
      <c r="H19" s="16" t="s">
        <v>24</v>
      </c>
      <c r="I19" s="16">
        <v>1</v>
      </c>
      <c r="J19" s="16" t="s">
        <v>37</v>
      </c>
      <c r="K19" s="79">
        <v>2.9295</v>
      </c>
      <c r="L19" s="80">
        <f t="shared" si="0"/>
        <v>2.9295</v>
      </c>
    </row>
    <row r="20" spans="1:12" s="47" customFormat="1" ht="28.95" customHeight="1">
      <c r="A20" s="14">
        <v>5</v>
      </c>
      <c r="B20" s="15" t="s">
        <v>71</v>
      </c>
      <c r="C20" s="16">
        <v>9</v>
      </c>
      <c r="D20" s="16" t="s">
        <v>38</v>
      </c>
      <c r="E20" s="68" t="s">
        <v>76</v>
      </c>
      <c r="F20" s="69" t="s">
        <v>41</v>
      </c>
      <c r="G20" s="16">
        <v>84662090</v>
      </c>
      <c r="H20" s="16" t="s">
        <v>24</v>
      </c>
      <c r="I20" s="16">
        <v>1</v>
      </c>
      <c r="J20" s="16" t="s">
        <v>37</v>
      </c>
      <c r="K20" s="79">
        <v>10.652799999999999</v>
      </c>
      <c r="L20" s="80">
        <f t="shared" si="0"/>
        <v>10.652799999999999</v>
      </c>
    </row>
    <row r="21" spans="1:12" s="47" customFormat="1" ht="28.95" customHeight="1">
      <c r="A21" s="14">
        <v>6</v>
      </c>
      <c r="B21" s="15" t="s">
        <v>71</v>
      </c>
      <c r="C21" s="16">
        <v>10</v>
      </c>
      <c r="D21" s="16" t="s">
        <v>38</v>
      </c>
      <c r="E21" s="68" t="s">
        <v>77</v>
      </c>
      <c r="F21" s="69" t="s">
        <v>42</v>
      </c>
      <c r="G21" s="16">
        <v>84662090</v>
      </c>
      <c r="H21" s="16" t="s">
        <v>24</v>
      </c>
      <c r="I21" s="16">
        <v>1</v>
      </c>
      <c r="J21" s="16" t="s">
        <v>37</v>
      </c>
      <c r="K21" s="79">
        <v>10.652799999999999</v>
      </c>
      <c r="L21" s="80">
        <f t="shared" si="0"/>
        <v>10.652799999999999</v>
      </c>
    </row>
    <row r="22" spans="1:12" s="47" customFormat="1" ht="28.95" customHeight="1">
      <c r="A22" s="14">
        <v>7</v>
      </c>
      <c r="B22" s="15" t="s">
        <v>71</v>
      </c>
      <c r="C22" s="16">
        <v>11</v>
      </c>
      <c r="D22" s="16" t="s">
        <v>38</v>
      </c>
      <c r="E22" s="68" t="s">
        <v>78</v>
      </c>
      <c r="F22" s="69" t="s">
        <v>43</v>
      </c>
      <c r="G22" s="16">
        <v>84662090</v>
      </c>
      <c r="H22" s="16" t="s">
        <v>24</v>
      </c>
      <c r="I22" s="16">
        <v>1</v>
      </c>
      <c r="J22" s="16" t="s">
        <v>37</v>
      </c>
      <c r="K22" s="79">
        <v>113.18559999999999</v>
      </c>
      <c r="L22" s="80">
        <f t="shared" si="0"/>
        <v>113.18559999999999</v>
      </c>
    </row>
    <row r="23" spans="1:12" s="48" customFormat="1" ht="21.9" customHeight="1">
      <c r="A23" s="235" t="s">
        <v>79</v>
      </c>
      <c r="B23" s="236"/>
      <c r="C23" s="236"/>
      <c r="D23" s="236"/>
      <c r="E23" s="236"/>
      <c r="F23" s="236"/>
      <c r="G23" s="236"/>
      <c r="H23" s="236"/>
      <c r="I23" s="81">
        <f>SUM(I16:I22)</f>
        <v>106</v>
      </c>
      <c r="J23" s="81"/>
      <c r="K23" s="82"/>
      <c r="L23" s="83">
        <f>SUM(L16:L22)</f>
        <v>420.38750000000005</v>
      </c>
    </row>
    <row r="24" spans="1:12" s="45" customFormat="1" ht="13.2" customHeight="1">
      <c r="A24" s="70"/>
      <c r="G24" s="71"/>
      <c r="I24" s="84"/>
      <c r="J24" s="85"/>
      <c r="K24" s="86"/>
      <c r="L24" s="87"/>
    </row>
    <row r="25" spans="1:12" s="45" customFormat="1" ht="16.2">
      <c r="A25" s="70"/>
      <c r="G25" s="71"/>
      <c r="I25" s="237" t="s">
        <v>9</v>
      </c>
      <c r="J25" s="238"/>
      <c r="K25" s="239"/>
      <c r="L25" s="240"/>
    </row>
    <row r="26" spans="1:12" s="45" customFormat="1" ht="16.2">
      <c r="A26" s="70"/>
      <c r="G26" s="71"/>
      <c r="I26" s="88"/>
      <c r="J26" s="89"/>
      <c r="K26" s="90"/>
      <c r="L26" s="87"/>
    </row>
    <row r="27" spans="1:12" ht="17.399999999999999">
      <c r="A27" s="72"/>
      <c r="F27" s="73"/>
      <c r="I27" s="91"/>
      <c r="J27" s="92"/>
      <c r="K27" s="93"/>
      <c r="L27" s="94"/>
    </row>
    <row r="28" spans="1:12" ht="17.399999999999999">
      <c r="A28" s="72"/>
      <c r="I28" s="91"/>
      <c r="J28" s="92"/>
      <c r="K28" s="93"/>
      <c r="L28" s="94"/>
    </row>
    <row r="29" spans="1:12" ht="17.399999999999999">
      <c r="A29" s="72"/>
      <c r="I29" s="91"/>
      <c r="J29" s="92"/>
      <c r="K29" s="93"/>
      <c r="L29" s="94"/>
    </row>
    <row r="30" spans="1:12" ht="17.399999999999999">
      <c r="A30" s="72"/>
      <c r="I30" s="91"/>
      <c r="J30" s="92"/>
      <c r="K30" s="93"/>
      <c r="L30" s="94"/>
    </row>
    <row r="31" spans="1:12" ht="17.399999999999999">
      <c r="A31" s="72"/>
      <c r="I31" s="91"/>
      <c r="J31" s="92"/>
      <c r="K31" s="93"/>
      <c r="L31" s="94"/>
    </row>
    <row r="32" spans="1:12" ht="17.399999999999999">
      <c r="A32" s="74"/>
      <c r="B32" s="75"/>
      <c r="C32" s="75"/>
      <c r="D32" s="75"/>
      <c r="E32" s="75"/>
      <c r="F32" s="75"/>
      <c r="G32" s="26"/>
      <c r="H32" s="75"/>
      <c r="I32" s="95"/>
      <c r="J32" s="96"/>
      <c r="K32" s="97"/>
      <c r="L32" s="98"/>
    </row>
  </sheetData>
  <mergeCells count="32">
    <mergeCell ref="A23:H23"/>
    <mergeCell ref="I25:L25"/>
    <mergeCell ref="A14:A15"/>
    <mergeCell ref="G14:G15"/>
    <mergeCell ref="H14:H15"/>
    <mergeCell ref="I14:I15"/>
    <mergeCell ref="J14:J15"/>
    <mergeCell ref="K14:K15"/>
    <mergeCell ref="L14:L15"/>
    <mergeCell ref="J12:L12"/>
    <mergeCell ref="A13:F13"/>
    <mergeCell ref="G13:I13"/>
    <mergeCell ref="J13:L13"/>
    <mergeCell ref="B14:F14"/>
    <mergeCell ref="B8:I8"/>
    <mergeCell ref="J8:L8"/>
    <mergeCell ref="J9:L9"/>
    <mergeCell ref="J10:L10"/>
    <mergeCell ref="B11:I11"/>
    <mergeCell ref="J11:L11"/>
    <mergeCell ref="B9:I10"/>
    <mergeCell ref="J4:L4"/>
    <mergeCell ref="J5:L5"/>
    <mergeCell ref="J6:L6"/>
    <mergeCell ref="A7:B7"/>
    <mergeCell ref="J7:L7"/>
    <mergeCell ref="B4:I5"/>
    <mergeCell ref="A1:L1"/>
    <mergeCell ref="A2:B2"/>
    <mergeCell ref="J2:L2"/>
    <mergeCell ref="B3:I3"/>
    <mergeCell ref="J3:L3"/>
  </mergeCells>
  <printOptions horizontalCentered="1"/>
  <pageMargins left="0.25" right="0.25" top="0.25" bottom="0.25" header="0.29861111111111099" footer="0.29861111111111099"/>
  <pageSetup paperSize="9" scale="75" orientation="landscape" r:id="rId1"/>
  <headerFooter>
    <oddFooter>&amp;C&amp;P/&amp;N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28"/>
  <sheetViews>
    <sheetView topLeftCell="A18" zoomScale="90" zoomScaleNormal="90" workbookViewId="0">
      <selection activeCell="B11" sqref="B11:G11"/>
    </sheetView>
  </sheetViews>
  <sheetFormatPr defaultColWidth="9" defaultRowHeight="14.4"/>
  <cols>
    <col min="1" max="1" width="5.109375" style="1" customWidth="1"/>
    <col min="2" max="2" width="12" style="1" customWidth="1"/>
    <col min="3" max="3" width="8.44140625" style="1" customWidth="1"/>
    <col min="4" max="4" width="19.88671875" style="1" customWidth="1"/>
    <col min="5" max="5" width="53.33203125" style="1" customWidth="1"/>
    <col min="6" max="6" width="11.88671875" style="3" customWidth="1"/>
    <col min="7" max="7" width="9.109375" style="3" customWidth="1"/>
    <col min="8" max="8" width="10.21875" style="4" customWidth="1"/>
    <col min="9" max="9" width="9.44140625" style="5" customWidth="1"/>
    <col min="10" max="10" width="10.77734375" style="5" customWidth="1"/>
    <col min="11" max="11" width="4.44140625" style="6" customWidth="1"/>
    <col min="12" max="16384" width="9" style="1"/>
  </cols>
  <sheetData>
    <row r="1" spans="1:11" ht="37.5" customHeight="1">
      <c r="A1" s="255" t="s">
        <v>80</v>
      </c>
      <c r="B1" s="256"/>
      <c r="C1" s="256"/>
      <c r="D1" s="256"/>
      <c r="E1" s="256"/>
      <c r="F1" s="256"/>
      <c r="G1" s="256"/>
      <c r="H1" s="257"/>
      <c r="I1" s="258"/>
      <c r="J1" s="258"/>
      <c r="K1" s="259"/>
    </row>
    <row r="2" spans="1:11" ht="20.100000000000001" customHeight="1">
      <c r="A2" s="260" t="s">
        <v>8</v>
      </c>
      <c r="B2" s="261"/>
      <c r="C2" s="261"/>
      <c r="D2" s="261"/>
      <c r="E2" s="261"/>
      <c r="F2" s="261"/>
      <c r="G2" s="261"/>
      <c r="H2" s="7" t="str">
        <f>'Invoice '!J2</f>
        <v>INVOICE NO:MPT250016</v>
      </c>
      <c r="I2" s="28"/>
      <c r="J2" s="28"/>
      <c r="K2" s="29"/>
    </row>
    <row r="3" spans="1:11" ht="20.100000000000001" customHeight="1">
      <c r="A3" s="8"/>
      <c r="B3" s="262" t="str">
        <f>'Invoice '!B3</f>
        <v>NAME:MOONPO TRADING(SHENZHEN)CO.,LTD</v>
      </c>
      <c r="C3" s="262"/>
      <c r="D3" s="262"/>
      <c r="E3" s="262"/>
      <c r="F3" s="262"/>
      <c r="G3" s="262"/>
      <c r="H3" s="9" t="str">
        <f>'Invoice '!J3</f>
        <v>INVOICE DATE:2025-04-23</v>
      </c>
      <c r="I3" s="30"/>
      <c r="J3" s="30"/>
      <c r="K3" s="31"/>
    </row>
    <row r="4" spans="1:11" ht="20.100000000000001" customHeight="1">
      <c r="A4" s="8"/>
      <c r="B4" s="287" t="s">
        <v>10</v>
      </c>
      <c r="C4" s="287"/>
      <c r="D4" s="287"/>
      <c r="E4" s="287"/>
      <c r="F4" s="287"/>
      <c r="G4" s="287"/>
      <c r="H4" s="9" t="str">
        <f>'Invoice '!J4</f>
        <v>PO NO：Below list</v>
      </c>
      <c r="I4" s="32"/>
      <c r="J4" s="32"/>
      <c r="K4" s="33"/>
    </row>
    <row r="5" spans="1:11" ht="20.100000000000001" customHeight="1">
      <c r="A5" s="8"/>
      <c r="B5" s="287"/>
      <c r="C5" s="287"/>
      <c r="D5" s="287"/>
      <c r="E5" s="287"/>
      <c r="F5" s="287"/>
      <c r="G5" s="287"/>
      <c r="H5" s="9" t="str">
        <f>'Invoice '!J5</f>
        <v>PAYMENT TERMS: TT</v>
      </c>
      <c r="I5" s="30"/>
      <c r="J5" s="30"/>
      <c r="K5" s="31"/>
    </row>
    <row r="6" spans="1:11" ht="21.75" customHeight="1">
      <c r="A6" s="10"/>
      <c r="B6" s="263" t="str">
        <f>'Invoice '!B6</f>
        <v>TELL: 0755-29698989</v>
      </c>
      <c r="C6" s="263"/>
      <c r="D6" s="263"/>
      <c r="E6" s="263"/>
      <c r="F6" s="263"/>
      <c r="G6" s="263"/>
      <c r="H6" s="9" t="str">
        <f>'Invoice '!J6</f>
        <v>DELIVERY TERMS:C&amp;F HAIPHONG</v>
      </c>
      <c r="I6" s="30"/>
      <c r="J6" s="30"/>
      <c r="K6" s="31"/>
    </row>
    <row r="7" spans="1:11" ht="20.100000000000001" customHeight="1">
      <c r="A7" s="260" t="s">
        <v>3</v>
      </c>
      <c r="B7" s="261"/>
      <c r="C7" s="261"/>
      <c r="D7" s="261"/>
      <c r="E7" s="261"/>
      <c r="F7" s="261"/>
      <c r="G7" s="261"/>
      <c r="H7" s="9" t="str">
        <f>'Invoice '!J7</f>
        <v>PORT OF LOADING:SHEKOU</v>
      </c>
      <c r="I7" s="30"/>
      <c r="J7" s="30"/>
      <c r="K7" s="31"/>
    </row>
    <row r="8" spans="1:11" ht="20.100000000000001" customHeight="1">
      <c r="A8" s="8"/>
      <c r="B8" s="262" t="str">
        <f>'Invoice '!B8</f>
        <v>NAME: MOONPO DEVELOPMENT(VIETNAM) LIMITED</v>
      </c>
      <c r="C8" s="262"/>
      <c r="D8" s="262"/>
      <c r="E8" s="262"/>
      <c r="F8" s="262"/>
      <c r="G8" s="262"/>
      <c r="H8" s="9" t="str">
        <f>'Invoice '!J8</f>
        <v>PORT OF DISCHARGE: HAIPHONG</v>
      </c>
      <c r="I8" s="30"/>
      <c r="J8" s="30"/>
      <c r="K8" s="31"/>
    </row>
    <row r="9" spans="1:11" ht="20.100000000000001" customHeight="1">
      <c r="A9" s="8"/>
      <c r="B9" s="287" t="str">
        <f>'Invoice '!B9</f>
        <v>ADDRESS: LOT CN-01, DONG VAN IV INDUSTRIAL ZONE, DAI CUONG WARD, KIM BANG TOWN, HA NAM PROVINCE, VIET NAM</v>
      </c>
      <c r="C9" s="287"/>
      <c r="D9" s="287"/>
      <c r="E9" s="287"/>
      <c r="F9" s="287"/>
      <c r="G9" s="287"/>
      <c r="H9" s="9" t="str">
        <f>'Invoice '!J9</f>
        <v>PORT OF TRANSIT:</v>
      </c>
      <c r="I9" s="30"/>
      <c r="J9" s="30"/>
      <c r="K9" s="31"/>
    </row>
    <row r="10" spans="1:11" ht="27.75" customHeight="1">
      <c r="A10" s="8"/>
      <c r="B10" s="287"/>
      <c r="C10" s="287"/>
      <c r="D10" s="287"/>
      <c r="E10" s="287"/>
      <c r="F10" s="287"/>
      <c r="G10" s="287"/>
      <c r="H10" s="9" t="str">
        <f>'Invoice '!J10</f>
        <v>ETD POL:2025-04-28</v>
      </c>
      <c r="I10" s="30"/>
      <c r="J10" s="30"/>
      <c r="K10" s="31"/>
    </row>
    <row r="11" spans="1:11" ht="20.100000000000001" customHeight="1">
      <c r="A11" s="8"/>
      <c r="B11" s="263" t="str">
        <f>'Invoice '!B11</f>
        <v>TAX NUMBER: 0700834811</v>
      </c>
      <c r="C11" s="263"/>
      <c r="D11" s="263"/>
      <c r="E11" s="263"/>
      <c r="F11" s="263"/>
      <c r="G11" s="263"/>
      <c r="H11" s="9" t="str">
        <f>'Invoice '!J11</f>
        <v>ETA POD:2025-04-30</v>
      </c>
      <c r="I11" s="30"/>
      <c r="J11" s="30"/>
      <c r="K11" s="31"/>
    </row>
    <row r="12" spans="1:11" ht="20.100000000000001" customHeight="1">
      <c r="A12" s="8"/>
      <c r="B12" s="263" t="str">
        <f>'Invoice '!B12</f>
        <v>TELL:(+84) 0396869966, Email: vttdung@moonpo.com</v>
      </c>
      <c r="C12" s="263"/>
      <c r="D12" s="263"/>
      <c r="E12" s="263"/>
      <c r="F12" s="263"/>
      <c r="G12" s="263"/>
      <c r="H12" s="11"/>
      <c r="I12" s="34"/>
      <c r="J12" s="34"/>
      <c r="K12" s="35"/>
    </row>
    <row r="13" spans="1:11" ht="23.1" customHeight="1">
      <c r="A13" s="264" t="s">
        <v>61</v>
      </c>
      <c r="B13" s="265"/>
      <c r="C13" s="265"/>
      <c r="D13" s="265"/>
      <c r="E13" s="265"/>
      <c r="F13" s="265"/>
      <c r="G13" s="266"/>
      <c r="H13" s="267"/>
      <c r="I13" s="268"/>
      <c r="J13" s="268"/>
      <c r="K13" s="269"/>
    </row>
    <row r="14" spans="1:11" ht="19.5" customHeight="1">
      <c r="A14" s="278" t="s">
        <v>12</v>
      </c>
      <c r="B14" s="270" t="s">
        <v>62</v>
      </c>
      <c r="C14" s="271"/>
      <c r="D14" s="271"/>
      <c r="E14" s="272"/>
      <c r="F14" s="280" t="s">
        <v>81</v>
      </c>
      <c r="G14" s="282" t="s">
        <v>15</v>
      </c>
      <c r="H14" s="282" t="s">
        <v>82</v>
      </c>
      <c r="I14" s="283" t="s">
        <v>83</v>
      </c>
      <c r="J14" s="283" t="s">
        <v>84</v>
      </c>
      <c r="K14" s="285" t="s">
        <v>85</v>
      </c>
    </row>
    <row r="15" spans="1:11" ht="31.05" customHeight="1">
      <c r="A15" s="279"/>
      <c r="B15" s="12" t="s">
        <v>65</v>
      </c>
      <c r="C15" s="13" t="s">
        <v>66</v>
      </c>
      <c r="D15" s="12" t="s">
        <v>67</v>
      </c>
      <c r="E15" s="13" t="s">
        <v>20</v>
      </c>
      <c r="F15" s="281"/>
      <c r="G15" s="281"/>
      <c r="H15" s="281"/>
      <c r="I15" s="284"/>
      <c r="J15" s="284"/>
      <c r="K15" s="286"/>
    </row>
    <row r="16" spans="1:11" ht="22.95" customHeight="1">
      <c r="A16" s="14">
        <v>1</v>
      </c>
      <c r="B16" s="15" t="s">
        <v>69</v>
      </c>
      <c r="C16" s="16">
        <v>1</v>
      </c>
      <c r="D16" s="16" t="s">
        <v>21</v>
      </c>
      <c r="E16" s="17" t="s">
        <v>22</v>
      </c>
      <c r="F16" s="16">
        <v>100</v>
      </c>
      <c r="G16" s="16" t="s">
        <v>23</v>
      </c>
      <c r="H16" s="17" t="s">
        <v>86</v>
      </c>
      <c r="I16" s="36">
        <v>58.13</v>
      </c>
      <c r="J16" s="36">
        <v>55</v>
      </c>
      <c r="K16" s="37"/>
    </row>
    <row r="17" spans="1:11" ht="22.95" customHeight="1">
      <c r="A17" s="14">
        <v>2</v>
      </c>
      <c r="B17" s="15" t="s">
        <v>71</v>
      </c>
      <c r="C17" s="16">
        <v>1</v>
      </c>
      <c r="D17" s="16" t="s">
        <v>35</v>
      </c>
      <c r="E17" s="17" t="s">
        <v>36</v>
      </c>
      <c r="F17" s="16">
        <v>1</v>
      </c>
      <c r="G17" s="16" t="s">
        <v>37</v>
      </c>
      <c r="H17" s="17" t="s">
        <v>87</v>
      </c>
      <c r="I17" s="36">
        <v>4.58</v>
      </c>
      <c r="J17" s="36">
        <v>4.08</v>
      </c>
      <c r="K17" s="37"/>
    </row>
    <row r="18" spans="1:11" ht="22.95" customHeight="1">
      <c r="A18" s="14">
        <v>3</v>
      </c>
      <c r="B18" s="15" t="s">
        <v>71</v>
      </c>
      <c r="C18" s="16">
        <v>2</v>
      </c>
      <c r="D18" s="16" t="s">
        <v>38</v>
      </c>
      <c r="E18" s="17" t="s">
        <v>39</v>
      </c>
      <c r="F18" s="16">
        <v>1</v>
      </c>
      <c r="G18" s="16" t="s">
        <v>37</v>
      </c>
      <c r="H18" s="17" t="s">
        <v>88</v>
      </c>
      <c r="I18" s="36">
        <v>13</v>
      </c>
      <c r="J18" s="36">
        <v>0.15</v>
      </c>
      <c r="K18" s="37"/>
    </row>
    <row r="19" spans="1:11" ht="22.95" customHeight="1">
      <c r="A19" s="14">
        <v>4</v>
      </c>
      <c r="B19" s="15" t="s">
        <v>71</v>
      </c>
      <c r="C19" s="16">
        <v>3</v>
      </c>
      <c r="D19" s="16" t="s">
        <v>38</v>
      </c>
      <c r="E19" s="17" t="s">
        <v>75</v>
      </c>
      <c r="F19" s="16">
        <v>1</v>
      </c>
      <c r="G19" s="16" t="s">
        <v>37</v>
      </c>
      <c r="H19" s="17" t="s">
        <v>88</v>
      </c>
      <c r="I19" s="36">
        <v>0</v>
      </c>
      <c r="J19" s="36">
        <v>0.23</v>
      </c>
      <c r="K19" s="37"/>
    </row>
    <row r="20" spans="1:11" ht="22.95" customHeight="1">
      <c r="A20" s="14">
        <v>5</v>
      </c>
      <c r="B20" s="15" t="s">
        <v>71</v>
      </c>
      <c r="C20" s="16">
        <v>4</v>
      </c>
      <c r="D20" s="16" t="s">
        <v>38</v>
      </c>
      <c r="E20" s="17" t="s">
        <v>41</v>
      </c>
      <c r="F20" s="16">
        <v>1</v>
      </c>
      <c r="G20" s="16" t="s">
        <v>37</v>
      </c>
      <c r="H20" s="17" t="s">
        <v>88</v>
      </c>
      <c r="I20" s="36">
        <v>0</v>
      </c>
      <c r="J20" s="36">
        <v>1.4</v>
      </c>
      <c r="K20" s="37"/>
    </row>
    <row r="21" spans="1:11" ht="22.95" customHeight="1">
      <c r="A21" s="14">
        <v>6</v>
      </c>
      <c r="B21" s="15" t="s">
        <v>71</v>
      </c>
      <c r="C21" s="16">
        <v>5</v>
      </c>
      <c r="D21" s="16" t="s">
        <v>38</v>
      </c>
      <c r="E21" s="17" t="s">
        <v>42</v>
      </c>
      <c r="F21" s="16">
        <v>1</v>
      </c>
      <c r="G21" s="16" t="s">
        <v>37</v>
      </c>
      <c r="H21" s="17" t="s">
        <v>88</v>
      </c>
      <c r="I21" s="36">
        <v>0</v>
      </c>
      <c r="J21" s="36">
        <v>1.4</v>
      </c>
      <c r="K21" s="37"/>
    </row>
    <row r="22" spans="1:11" ht="22.95" customHeight="1">
      <c r="A22" s="14">
        <v>7</v>
      </c>
      <c r="B22" s="15" t="s">
        <v>71</v>
      </c>
      <c r="C22" s="16">
        <v>6</v>
      </c>
      <c r="D22" s="16" t="s">
        <v>38</v>
      </c>
      <c r="E22" s="17" t="s">
        <v>43</v>
      </c>
      <c r="F22" s="16">
        <v>1</v>
      </c>
      <c r="G22" s="16" t="s">
        <v>37</v>
      </c>
      <c r="H22" s="17" t="s">
        <v>88</v>
      </c>
      <c r="I22" s="36">
        <v>0</v>
      </c>
      <c r="J22" s="36">
        <v>8.6</v>
      </c>
      <c r="K22" s="37"/>
    </row>
    <row r="23" spans="1:11" s="2" customFormat="1" ht="22.05" customHeight="1">
      <c r="A23" s="273" t="s">
        <v>79</v>
      </c>
      <c r="B23" s="274"/>
      <c r="C23" s="274"/>
      <c r="D23" s="274"/>
      <c r="E23" s="274"/>
      <c r="F23" s="18">
        <f>SUM(F16:F22)</f>
        <v>106</v>
      </c>
      <c r="G23" s="19"/>
      <c r="H23" s="19"/>
      <c r="I23" s="38">
        <f>SUM(I16:I22)</f>
        <v>75.710000000000008</v>
      </c>
      <c r="J23" s="38">
        <f>SUM(J16:J22)</f>
        <v>70.859999999999985</v>
      </c>
      <c r="K23" s="39"/>
    </row>
    <row r="24" spans="1:11" ht="18" customHeight="1">
      <c r="A24" s="20" t="s">
        <v>89</v>
      </c>
      <c r="G24" s="21"/>
      <c r="H24" s="22"/>
      <c r="I24" s="40"/>
      <c r="J24" s="40"/>
      <c r="K24" s="41"/>
    </row>
    <row r="25" spans="1:11" ht="18" customHeight="1">
      <c r="A25" s="23"/>
      <c r="F25" s="275" t="s">
        <v>9</v>
      </c>
      <c r="G25" s="275"/>
      <c r="H25" s="275"/>
      <c r="I25" s="276"/>
      <c r="J25" s="276"/>
      <c r="K25" s="277"/>
    </row>
    <row r="26" spans="1:11">
      <c r="A26" s="23"/>
      <c r="K26" s="42"/>
    </row>
    <row r="27" spans="1:11">
      <c r="A27" s="23"/>
      <c r="K27" s="42"/>
    </row>
    <row r="28" spans="1:11">
      <c r="A28" s="24"/>
      <c r="B28" s="25"/>
      <c r="C28" s="25"/>
      <c r="D28" s="25"/>
      <c r="E28" s="25"/>
      <c r="F28" s="26"/>
      <c r="G28" s="26"/>
      <c r="H28" s="27"/>
      <c r="I28" s="43"/>
      <c r="J28" s="43"/>
      <c r="K28" s="44"/>
    </row>
  </sheetData>
  <mergeCells count="22">
    <mergeCell ref="B14:E14"/>
    <mergeCell ref="A23:E23"/>
    <mergeCell ref="F25:K25"/>
    <mergeCell ref="A14:A15"/>
    <mergeCell ref="F14:F15"/>
    <mergeCell ref="G14:G15"/>
    <mergeCell ref="H14:H15"/>
    <mergeCell ref="I14:I15"/>
    <mergeCell ref="J14:J15"/>
    <mergeCell ref="K14:K15"/>
    <mergeCell ref="B8:G8"/>
    <mergeCell ref="B11:G11"/>
    <mergeCell ref="B12:G12"/>
    <mergeCell ref="A13:F13"/>
    <mergeCell ref="G13:K13"/>
    <mergeCell ref="B9:G10"/>
    <mergeCell ref="A1:K1"/>
    <mergeCell ref="A2:G2"/>
    <mergeCell ref="B3:G3"/>
    <mergeCell ref="B6:G6"/>
    <mergeCell ref="A7:G7"/>
    <mergeCell ref="B4:G5"/>
  </mergeCells>
  <pageMargins left="0.25138888888888899" right="0.25138888888888899" top="0.16111111111111101" bottom="0.16111111111111101" header="0.29861111111111099" footer="0.29861111111111099"/>
  <pageSetup paperSize="9" scale="90" orientation="landscape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250302-1109</vt:lpstr>
      <vt:lpstr>250340-1115</vt:lpstr>
      <vt:lpstr>Invoice </vt:lpstr>
      <vt:lpstr>Packing list </vt:lpstr>
      <vt:lpstr>'Invoice '!Print_Area</vt:lpstr>
      <vt:lpstr>'Packing list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Lê Thị Liên</cp:lastModifiedBy>
  <cp:lastPrinted>2025-04-28T07:02:12Z</cp:lastPrinted>
  <dcterms:created xsi:type="dcterms:W3CDTF">2019-11-05T02:26:00Z</dcterms:created>
  <dcterms:modified xsi:type="dcterms:W3CDTF">2025-04-28T07:20:58Z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D3A1F42C647040139774E5E1F6F118B3</vt:lpwstr>
  </property>
</Properties>
</file>