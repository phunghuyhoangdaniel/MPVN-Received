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99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<sst xmlns="http://schemas.openxmlformats.org/spreadsheetml/2006/main" count="68" uniqueCount="48">
  <si>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</si>
  <si>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</si>
  <si>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</si>
  <si>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</si>
  <si>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</si>
  <si>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</si>
  <si>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</si>
  <si>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</si>
  <si>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</si>
  <si>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</si>
  <si>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</si>
  <si>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</si>
  <si>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</si>
  <si>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</si>
  <si>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</si>
  <si>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</si>
  <si>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</si>
  <si>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</si>
  <si>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</si>
  <si>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</si>
  <si>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</si>
  <si>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</si>
  <si>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</si>
  <si>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</si>
  <si>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</si>
  <si>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</si>
  <si>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</si>
  <si>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PCBA board mounted LCD tray fixture</t>
  </si>
  <si>
    <t>PCBA装LCD托盘治具</t>
  </si>
  <si>
    <t>Techsen Electronics(ShenZhen)Co.,Ltd</t>
  </si>
  <si>
    <t>GX-1</t>
  </si>
  <si>
    <r>
      <rPr>
        <sz val="11"/>
        <color theme="1"/>
        <rFont val="宋体"/>
        <charset val="134"/>
      </rPr>
      <t>GX-1F30</t>
    </r>
    <r>
      <rPr>
        <sz val="11"/>
        <color theme="1"/>
        <rFont val="宋体"/>
        <charset val="134"/>
      </rPr>
      <t xml:space="preserve">
</t>
    </r>
  </si>
  <si>
    <t>BAKELITE</t>
  </si>
  <si>
    <t>/</t>
  </si>
  <si>
    <t>CHINA</t>
  </si>
  <si>
    <t>NEW</t>
  </si>
  <si>
    <t>A01</t>
  </si>
  <si>
    <t>42*19.5*15</t>
  </si>
  <si>
    <t>26X17X5</t>
  </si>
  <si>
    <t>Assemly</t>
  </si>
  <si>
    <t>NO</t>
  </si>
  <si>
    <t>Lock VR Nut Fixture</t>
  </si>
  <si>
    <r>
      <rPr>
        <sz val="12"/>
        <color theme="1"/>
        <rFont val="楷体"/>
        <charset val="134"/>
      </rPr>
      <t>锁V</t>
    </r>
    <r>
      <rPr>
        <sz val="12"/>
        <color theme="1"/>
        <rFont val="楷体"/>
        <charset val="134"/>
      </rPr>
      <t>R螺母治具</t>
    </r>
  </si>
  <si>
    <r>
      <rPr>
        <sz val="11"/>
        <color theme="1"/>
        <rFont val="宋体"/>
        <charset val="134"/>
      </rPr>
      <t>GX-1F31</t>
    </r>
    <r>
      <rPr>
        <sz val="11"/>
        <color theme="1"/>
        <rFont val="宋体"/>
        <charset val="134"/>
      </rPr>
      <t xml:space="preserve">
</t>
    </r>
  </si>
  <si>
    <t>33X17X6</t>
  </si>
  <si>
    <r>
      <rPr>
        <sz val="12"/>
        <color theme="1"/>
        <rFont val="楷体"/>
        <charset val="134"/>
      </rPr>
      <t>装L</t>
    </r>
    <r>
      <rPr>
        <sz val="12"/>
        <color theme="1"/>
        <rFont val="楷体"/>
        <charset val="134"/>
      </rPr>
      <t>CD贴棉治具</t>
    </r>
  </si>
  <si>
    <r>
      <rPr>
        <sz val="11"/>
        <color theme="1"/>
        <rFont val="宋体"/>
        <charset val="134"/>
      </rPr>
      <t>GX-1F32</t>
    </r>
    <r>
      <rPr>
        <sz val="11"/>
        <color theme="1"/>
        <rFont val="宋体"/>
        <charset val="134"/>
      </rPr>
      <t xml:space="preserve">
</t>
    </r>
  </si>
  <si>
    <t>33X17X3.5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</si>
</sst>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235323</xdr:colOff>
      <xdr:row>1</xdr:row>
      <xdr:rowOff>156882</xdr:rowOff>
    </xdr:from>
    <xdr:to>
      <xdr:col>13</xdr:col>
      <xdr:colOff>1770529</xdr:colOff>
      <xdr:row>1</xdr:row>
      <xdr:rowOff>1154206</xdr:rowOff>
    </xdr:to>
    <xdr:pic>
      <xdr:nvPicPr>
        <xdr:cNvPr id="2" name="图片 1" descr="IMG_20250703_102744.jpg"/>
        <xdr:cNvPicPr>
          <a:picLocks noChangeAspect="1"/>
        </xdr:cNvPicPr>
      </xdr:nvPicPr>
      <xdr:blipFill>
        <a:blip r:embed="rId1" cstate="print"/>
        <a:srcRect l="19922" t="2490" r="6203" b="12221"/>
        <a:stretch>
          <a:fillRect/>
        </a:stretch>
      </xdr:blipFill>
      <xdr:spPr>
        <a:xfrm rot="16200000">
          <a:off x="20344765" y="268605"/>
          <a:ext cx="996950" cy="1535430"/>
        </a:xfrm>
        <a:prstGeom prst="rect">
          <a:avLst/>
        </a:prstGeom>
      </xdr:spPr>
    </xdr:pic>
    <xdr:clientData/>
  </xdr:twoCellAnchor>
  <xdr:twoCellAnchor editAs="oneCell">
    <xdr:from>
      <xdr:col>13</xdr:col>
      <xdr:colOff>168087</xdr:colOff>
      <xdr:row>3</xdr:row>
      <xdr:rowOff>156883</xdr:rowOff>
    </xdr:from>
    <xdr:to>
      <xdr:col>13</xdr:col>
      <xdr:colOff>1802608</xdr:colOff>
      <xdr:row>3</xdr:row>
      <xdr:rowOff>1120589</xdr:rowOff>
    </xdr:to>
    <xdr:pic>
      <xdr:nvPicPr>
        <xdr:cNvPr id="3" name="图片 2" descr="IMG_20250703_102822.jpg"/>
        <xdr:cNvPicPr>
          <a:picLocks noChangeAspect="1"/>
        </xdr:cNvPicPr>
      </xdr:nvPicPr>
      <xdr:blipFill>
        <a:blip r:embed="rId2" cstate="print"/>
        <a:srcRect l="4956" t="3495" r="14268" b="33005"/>
        <a:stretch>
          <a:fillRect/>
        </a:stretch>
      </xdr:blipFill>
      <xdr:spPr>
        <a:xfrm>
          <a:off x="20008215" y="3204845"/>
          <a:ext cx="1634490" cy="963295"/>
        </a:xfrm>
        <a:prstGeom prst="rect">
          <a:avLst/>
        </a:prstGeom>
      </xdr:spPr>
    </xdr:pic>
    <xdr:clientData/>
  </xdr:twoCellAnchor>
  <xdr:twoCellAnchor editAs="oneCell">
    <xdr:from>
      <xdr:col>13</xdr:col>
      <xdr:colOff>123265</xdr:colOff>
      <xdr:row>2</xdr:row>
      <xdr:rowOff>156883</xdr:rowOff>
    </xdr:from>
    <xdr:to>
      <xdr:col>13</xdr:col>
      <xdr:colOff>1837765</xdr:colOff>
      <xdr:row>2</xdr:row>
      <xdr:rowOff>1266266</xdr:rowOff>
    </xdr:to>
    <xdr:pic>
      <xdr:nvPicPr>
        <xdr:cNvPr id="4" name="图片 3" descr="IMG_20250703_162935.jpg"/>
        <xdr:cNvPicPr>
          <a:picLocks noChangeAspect="1"/>
        </xdr:cNvPicPr>
      </xdr:nvPicPr>
      <xdr:blipFill>
        <a:blip r:embed="rId3" cstate="print"/>
        <a:srcRect l="-641" t="5123" r="18464" b="-373"/>
        <a:stretch>
          <a:fillRect/>
        </a:stretch>
      </xdr:blipFill>
      <xdr:spPr>
        <a:xfrm rot="5400000">
          <a:off x="20266025" y="1568450"/>
          <a:ext cx="1109345" cy="17145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145676</xdr:colOff>
      <xdr:row>1</xdr:row>
      <xdr:rowOff>56028</xdr:rowOff>
    </xdr:from>
    <xdr:to>
      <xdr:col>14</xdr:col>
      <xdr:colOff>1961029</xdr:colOff>
      <xdr:row>1</xdr:row>
      <xdr:rowOff>1064559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4"/>
        <a:srcRect l="2352" t="27412" r="81588" b="56669"/>
        <a:stretch>
          <a:fillRect/>
        </a:stretch>
      </xdr:blipFill>
      <xdr:spPr>
        <a:xfrm>
          <a:off x="21957665" y="436880"/>
          <a:ext cx="1815465" cy="1008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134471</xdr:colOff>
      <xdr:row>2</xdr:row>
      <xdr:rowOff>145674</xdr:rowOff>
    </xdr:from>
    <xdr:to>
      <xdr:col>14</xdr:col>
      <xdr:colOff>1976216</xdr:colOff>
      <xdr:row>2</xdr:row>
      <xdr:rowOff>1154206</xdr:rowOff>
    </xdr:to>
    <xdr:pic>
      <xdr:nvPicPr>
        <xdr:cNvPr id="11" name="Picture 2"/>
        <xdr:cNvPicPr>
          <a:picLocks noChangeAspect="1" noChangeArrowheads="1"/>
        </xdr:cNvPicPr>
      </xdr:nvPicPr>
      <xdr:blipFill>
        <a:blip r:embed="rId4"/>
        <a:srcRect l="19800" t="27412" r="63907" b="56669"/>
        <a:stretch>
          <a:fillRect/>
        </a:stretch>
      </xdr:blipFill>
      <xdr:spPr>
        <a:xfrm>
          <a:off x="21946235" y="1859915"/>
          <a:ext cx="1842135" cy="1008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134471</xdr:colOff>
      <xdr:row>3</xdr:row>
      <xdr:rowOff>145676</xdr:rowOff>
    </xdr:from>
    <xdr:to>
      <xdr:col>14</xdr:col>
      <xdr:colOff>1961029</xdr:colOff>
      <xdr:row>3</xdr:row>
      <xdr:rowOff>1154206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r:embed="rId4"/>
        <a:srcRect l="2352" t="44923" r="81489" b="39158"/>
        <a:stretch>
          <a:fillRect/>
        </a:stretch>
      </xdr:blipFill>
      <xdr:spPr>
        <a:xfrm>
          <a:off x="21946235" y="3193415"/>
          <a:ext cx="1826895" cy="1008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zoomScale="85" zoomScaleNormal="85" workbookViewId="0">
      <pane ySplit="1" topLeftCell="A2" activePane="bottomLeft" state="frozen"/>
      <selection/>
      <selection pane="bottomLeft" activeCell="C6" sqref="C6"/>
    </sheetView>
  </sheetViews>
  <sheetFormatPr defaultColWidth="9" defaultRowHeight="14.25" outlineLevelRow="3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10" t="s">
        <v>25</v>
      </c>
      <c r="AA1" s="22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>
        <v>8466200090</v>
      </c>
      <c r="G2" s="18">
        <v>84662090</v>
      </c>
      <c r="H2" s="18" t="s">
        <v>32</v>
      </c>
      <c r="I2" s="18" t="s">
        <v>33</v>
      </c>
      <c r="J2" s="14" t="s">
        <v>33</v>
      </c>
      <c r="K2" s="19">
        <v>45841</v>
      </c>
      <c r="L2" s="20" t="s">
        <v>34</v>
      </c>
      <c r="M2" s="14" t="s">
        <v>35</v>
      </c>
      <c r="N2" s="14"/>
      <c r="O2" s="14"/>
      <c r="P2" s="14">
        <v>1</v>
      </c>
      <c r="Q2" s="14">
        <v>45</v>
      </c>
      <c r="R2" s="14">
        <f>ROUND(Q2/1.13*1.08/7.1534,4)</f>
        <v>6.0124</v>
      </c>
      <c r="S2" s="14">
        <f>ROUND(R2*P2,2)</f>
        <v>6.01</v>
      </c>
      <c r="T2" s="23" t="s">
        <v>36</v>
      </c>
      <c r="U2" s="24">
        <v>1</v>
      </c>
      <c r="V2" s="24">
        <v>2.37</v>
      </c>
      <c r="W2" s="14">
        <v>0.47</v>
      </c>
      <c r="X2" s="24" t="s">
        <v>37</v>
      </c>
      <c r="Y2" s="14" t="s">
        <v>38</v>
      </c>
      <c r="Z2" s="14" t="s">
        <v>39</v>
      </c>
      <c r="AA2" s="29" t="s">
        <v>40</v>
      </c>
    </row>
    <row r="3" s="2" customFormat="1" ht="105" customHeight="1" spans="1:27">
      <c r="A3" s="13" t="s">
        <v>41</v>
      </c>
      <c r="B3" s="14" t="s">
        <v>42</v>
      </c>
      <c r="C3" s="15" t="s">
        <v>29</v>
      </c>
      <c r="D3" s="16" t="s">
        <v>30</v>
      </c>
      <c r="E3" s="17" t="s">
        <v>43</v>
      </c>
      <c r="F3" s="18">
        <v>8466200090</v>
      </c>
      <c r="G3" s="18">
        <v>84662090</v>
      </c>
      <c r="H3" s="18" t="s">
        <v>32</v>
      </c>
      <c r="I3" s="18" t="s">
        <v>33</v>
      </c>
      <c r="J3" s="14" t="s">
        <v>33</v>
      </c>
      <c r="K3" s="19">
        <v>45841</v>
      </c>
      <c r="L3" s="20" t="s">
        <v>34</v>
      </c>
      <c r="M3" s="14" t="s">
        <v>35</v>
      </c>
      <c r="N3" s="14"/>
      <c r="O3" s="14"/>
      <c r="P3" s="14">
        <v>1</v>
      </c>
      <c r="Q3" s="14">
        <v>40</v>
      </c>
      <c r="R3" s="14">
        <f>ROUND(Q3/1.13*1.08/7.1534,4)</f>
        <v>5.3443</v>
      </c>
      <c r="S3" s="14">
        <f>ROUND(R3*P3,2)</f>
        <v>5.34</v>
      </c>
      <c r="T3" s="25"/>
      <c r="U3" s="26"/>
      <c r="V3" s="26"/>
      <c r="W3" s="14">
        <v>0.8</v>
      </c>
      <c r="X3" s="26"/>
      <c r="Y3" s="14" t="s">
        <v>44</v>
      </c>
      <c r="Z3" s="14" t="s">
        <v>39</v>
      </c>
      <c r="AA3" s="29" t="s">
        <v>40</v>
      </c>
    </row>
    <row r="4" s="2" customFormat="1" ht="105" customHeight="1" spans="1:27">
      <c r="A4" s="13" t="s">
        <v>41</v>
      </c>
      <c r="B4" s="14" t="s">
        <v>45</v>
      </c>
      <c r="C4" s="15" t="s">
        <v>29</v>
      </c>
      <c r="D4" s="16" t="s">
        <v>30</v>
      </c>
      <c r="E4" s="17" t="s">
        <v>46</v>
      </c>
      <c r="F4" s="18">
        <v>8466200090</v>
      </c>
      <c r="G4" s="18">
        <v>84662090</v>
      </c>
      <c r="H4" s="18" t="s">
        <v>32</v>
      </c>
      <c r="I4" s="18" t="s">
        <v>33</v>
      </c>
      <c r="J4" s="14" t="s">
        <v>33</v>
      </c>
      <c r="K4" s="19">
        <v>45841</v>
      </c>
      <c r="L4" s="20" t="s">
        <v>34</v>
      </c>
      <c r="M4" s="14" t="s">
        <v>35</v>
      </c>
      <c r="N4" s="14"/>
      <c r="O4" s="14"/>
      <c r="P4" s="14">
        <v>1</v>
      </c>
      <c r="Q4" s="14">
        <v>42</v>
      </c>
      <c r="R4" s="14">
        <f>ROUND(Q4/1.13*1.08/7.1534,4)</f>
        <v>5.6115</v>
      </c>
      <c r="S4" s="14">
        <f>ROUND(R4*P4,2)</f>
        <v>5.61</v>
      </c>
      <c r="T4" s="27"/>
      <c r="U4" s="28"/>
      <c r="V4" s="28"/>
      <c r="W4" s="14">
        <v>0.77</v>
      </c>
      <c r="X4" s="28"/>
      <c r="Y4" s="14" t="s">
        <v>47</v>
      </c>
      <c r="Z4" s="14" t="s">
        <v>39</v>
      </c>
      <c r="AA4" s="29" t="s">
        <v>40</v>
      </c>
    </row>
  </sheetData>
  <mergeCells count="4">
    <mergeCell ref="T2:T4"/>
    <mergeCell ref="U2:U4"/>
    <mergeCell ref="V2:V4"/>
    <mergeCell ref="X2:X4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2025-07-04T08:28:31Z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3BE2CD091D3D46ACB962EB026E893F84</vt:lpwstr>
  </property>
</Properties>
</file>