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1\Hàng nhập E13 &amp; H11\Tháng 11\Lô hàng phi mâu dịch số 4 của anh Trung Anh\"/>
    </mc:Choice>
  </mc:AlternateContent>
  <bookViews>
    <workbookView xWindow="0" yWindow="0" windowWidth="18525" windowHeight="7770"/>
  </bookViews>
  <sheets>
    <sheet name="清单" sheetId="11" r:id="rId1"/>
  </sheets>
  <calcPr calcId="162913"/>
</workbook>
</file>

<file path=xl/calcChain.xml><?xml version="1.0" encoding="utf-8"?>
<calcChain xmlns="http://schemas.openxmlformats.org/spreadsheetml/2006/main">
  <c r="V6" i="11" l="1"/>
  <c r="V5" i="11"/>
  <c r="V4" i="11"/>
  <c r="V3" i="11"/>
  <c r="A3" i="11"/>
  <c r="A4" i="11" s="1"/>
  <c r="A5" i="11" s="1"/>
  <c r="A6" i="11" s="1"/>
  <c r="V2" i="11"/>
</calcChain>
</file>

<file path=xl/sharedStrings.xml><?xml version="1.0" encoding="utf-8"?>
<sst xmlns="http://schemas.openxmlformats.org/spreadsheetml/2006/main" count="96" uniqueCount="40">
  <si>
    <t>NO</t>
  </si>
  <si>
    <t>ENGLISH NAME OF GOODS</t>
  </si>
  <si>
    <t>MANUFACTURER</t>
  </si>
  <si>
    <t>MODEL NO 
(Ex: abc-123)</t>
  </si>
  <si>
    <t>SERIAL NUMBER</t>
  </si>
  <si>
    <t>VOLTAGE 
(Ex: 220V)</t>
  </si>
  <si>
    <t>CAPACITY 
(Ex :1200KW)</t>
  </si>
  <si>
    <t>PRODUCTION DATE
(yyyy-mm-dd)</t>
  </si>
  <si>
    <t>HS CODE</t>
  </si>
  <si>
    <t>ORIGIN OF GOODS</t>
  </si>
  <si>
    <t>NEW or USED</t>
  </si>
  <si>
    <t>PICTURE
(BEFORE PACKING)</t>
  </si>
  <si>
    <t>PICTURE
(NAME PLATE)</t>
  </si>
  <si>
    <t>QUANTITY</t>
  </si>
  <si>
    <t>CARTON NUMBER</t>
  </si>
  <si>
    <t>QUANTITY PER CARTON</t>
  </si>
  <si>
    <t>G.W(KGS)</t>
  </si>
  <si>
    <t>N.W(KGS)</t>
  </si>
  <si>
    <t>L(cm)</t>
  </si>
  <si>
    <t>W(cm)</t>
  </si>
  <si>
    <t>H(cm)</t>
  </si>
  <si>
    <t>CBM</t>
  </si>
  <si>
    <t>应用范围</t>
  </si>
  <si>
    <t>是否带电源</t>
  </si>
  <si>
    <t>是否自行制造</t>
  </si>
  <si>
    <t>Screw</t>
  </si>
  <si>
    <t>Techsen electronic(shenzhen)co.,Ltd</t>
  </si>
  <si>
    <t>CHINA</t>
  </si>
  <si>
    <t xml:space="preserve">NEW </t>
  </si>
  <si>
    <t>A1</t>
  </si>
  <si>
    <t>tooling process</t>
  </si>
  <si>
    <t>Yes</t>
  </si>
  <si>
    <t>Tooling screw</t>
  </si>
  <si>
    <t>A2</t>
  </si>
  <si>
    <t>Spring</t>
  </si>
  <si>
    <t>Tooling insert</t>
  </si>
  <si>
    <t>A4</t>
  </si>
  <si>
    <t>Fixture</t>
  </si>
  <si>
    <t>A5</t>
  </si>
  <si>
    <t>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</si>
</sst>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_ "/>
  </numFmts>
  <fonts count="4">
    <font>
      <sz val="11"/>
      <color theme="1"/>
      <name val="Calibri"/>
      <charset val="134"/>
      <scheme val="minor"/>
    </font>
    <font>
      <sz val="12"/>
      <color theme="1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b/>
      <sz val="12"/>
      <color rgb="FF000000"/>
      <name val="Cambria"/>
      <charset val="134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190500</xdr:colOff>
      <xdr:row>1</xdr:row>
      <xdr:rowOff>76200</xdr:rowOff>
    </xdr:from>
    <xdr:to>
      <xdr:col>12</xdr:col>
      <xdr:colOff>0</xdr:colOff>
      <xdr:row>1</xdr:row>
      <xdr:rowOff>1010920</xdr:rowOff>
    </xdr:to>
    <xdr:pic>
      <xdr:nvPicPr>
        <xdr:cNvPr id="2" name="图片 1" descr="Screw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4925" y="1009650"/>
          <a:ext cx="1455420" cy="934720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2</xdr:row>
      <xdr:rowOff>76200</xdr:rowOff>
    </xdr:from>
    <xdr:to>
      <xdr:col>11</xdr:col>
      <xdr:colOff>1591945</xdr:colOff>
      <xdr:row>2</xdr:row>
      <xdr:rowOff>1036320</xdr:rowOff>
    </xdr:to>
    <xdr:pic>
      <xdr:nvPicPr>
        <xdr:cNvPr id="3" name="图片 2" descr="screw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03025" y="2066925"/>
          <a:ext cx="1363345" cy="960120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3</xdr:row>
      <xdr:rowOff>0</xdr:rowOff>
    </xdr:from>
    <xdr:to>
      <xdr:col>11</xdr:col>
      <xdr:colOff>1553210</xdr:colOff>
      <xdr:row>3</xdr:row>
      <xdr:rowOff>1047115</xdr:rowOff>
    </xdr:to>
    <xdr:pic>
      <xdr:nvPicPr>
        <xdr:cNvPr id="4" name="图片 3" descr="spri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03025" y="3048000"/>
          <a:ext cx="1324610" cy="104711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4</xdr:row>
      <xdr:rowOff>114300</xdr:rowOff>
    </xdr:from>
    <xdr:to>
      <xdr:col>11</xdr:col>
      <xdr:colOff>1496695</xdr:colOff>
      <xdr:row>4</xdr:row>
      <xdr:rowOff>920115</xdr:rowOff>
    </xdr:to>
    <xdr:pic>
      <xdr:nvPicPr>
        <xdr:cNvPr id="5" name="图片 4" descr="xiangjia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74450" y="4219575"/>
          <a:ext cx="1296670" cy="805815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4</xdr:row>
      <xdr:rowOff>1028700</xdr:rowOff>
    </xdr:from>
    <xdr:to>
      <xdr:col>11</xdr:col>
      <xdr:colOff>1383665</xdr:colOff>
      <xdr:row>5</xdr:row>
      <xdr:rowOff>1039495</xdr:rowOff>
    </xdr:to>
    <xdr:pic>
      <xdr:nvPicPr>
        <xdr:cNvPr id="6" name="图片 5" descr="Fix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flipV="1">
          <a:off x="11617325" y="5133975"/>
          <a:ext cx="1040765" cy="1068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view="pageBreakPreview" zoomScaleNormal="85" zoomScaleSheetLayoutView="100" workbookViewId="0">
      <pane xSplit="2" ySplit="1" topLeftCell="L2" activePane="bottomRight" state="frozen"/>
      <selection pane="topRight"/>
      <selection pane="bottomLeft"/>
      <selection pane="bottomRight" activeCell="B2" sqref="B2"/>
    </sheetView>
  </sheetViews>
  <sheetFormatPr defaultColWidth="9" defaultRowHeight="15.75"/>
  <cols>
    <col min="1" max="1" width="9" style="2"/>
    <col min="2" max="2" width="16.140625" style="3" customWidth="1"/>
    <col min="3" max="3" width="20.42578125" style="2" customWidth="1"/>
    <col min="4" max="4" width="16.28515625" style="2" customWidth="1"/>
    <col min="5" max="6" width="12.42578125" style="2" customWidth="1"/>
    <col min="7" max="7" width="18.140625" style="2" customWidth="1"/>
    <col min="8" max="8" width="17.85546875" style="2" customWidth="1"/>
    <col min="9" max="9" width="13.42578125" style="4" customWidth="1"/>
    <col min="10" max="11" width="14.140625" style="4" customWidth="1"/>
    <col min="12" max="12" width="24" style="2" customWidth="1"/>
    <col min="13" max="13" width="12.7109375" style="2" customWidth="1"/>
    <col min="14" max="14" width="13.5703125" style="2" customWidth="1"/>
    <col min="15" max="15" width="11.42578125" style="1" customWidth="1"/>
    <col min="16" max="16" width="12.85546875" style="1" customWidth="1"/>
    <col min="17" max="17" width="14.5703125" style="1" customWidth="1"/>
    <col min="18" max="18" width="14.7109375" style="1" customWidth="1"/>
    <col min="19" max="19" width="10.28515625" style="1" customWidth="1"/>
    <col min="20" max="20" width="9.85546875" style="1" customWidth="1"/>
    <col min="21" max="21" width="11.42578125" style="1" customWidth="1"/>
    <col min="22" max="22" width="11" style="1" customWidth="1"/>
    <col min="23" max="23" width="23.42578125" style="2" customWidth="1"/>
    <col min="24" max="24" width="15.7109375" style="2" customWidth="1"/>
    <col min="25" max="25" width="17" style="2" customWidth="1"/>
    <col min="26" max="16384" width="9" style="2"/>
  </cols>
  <sheetData>
    <row r="1" spans="1:25" s="1" customFormat="1" ht="73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3" t="s">
        <v>14</v>
      </c>
      <c r="P1" s="13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5" t="s">
        <v>24</v>
      </c>
    </row>
    <row r="2" spans="1:25" ht="83.25" customHeight="1">
      <c r="A2" s="7">
        <v>1</v>
      </c>
      <c r="B2" s="7" t="s">
        <v>25</v>
      </c>
      <c r="C2" s="8" t="s">
        <v>26</v>
      </c>
      <c r="D2" s="9" t="s">
        <v>0</v>
      </c>
      <c r="E2" s="9" t="s">
        <v>0</v>
      </c>
      <c r="F2" s="10" t="s">
        <v>0</v>
      </c>
      <c r="G2" s="10" t="s">
        <v>0</v>
      </c>
      <c r="H2" s="11">
        <v>44494</v>
      </c>
      <c r="I2" s="14">
        <v>73181590</v>
      </c>
      <c r="J2" s="10" t="s">
        <v>27</v>
      </c>
      <c r="K2" s="15" t="s">
        <v>28</v>
      </c>
      <c r="L2" s="7"/>
      <c r="M2" s="7" t="s">
        <v>0</v>
      </c>
      <c r="N2" s="16">
        <v>4920</v>
      </c>
      <c r="O2" s="9" t="s">
        <v>29</v>
      </c>
      <c r="P2" s="9">
        <v>1</v>
      </c>
      <c r="Q2" s="20">
        <v>23</v>
      </c>
      <c r="R2" s="9" t="s">
        <v>0</v>
      </c>
      <c r="S2" s="9">
        <v>250</v>
      </c>
      <c r="T2" s="9">
        <v>120</v>
      </c>
      <c r="U2" s="9">
        <v>160</v>
      </c>
      <c r="V2" s="9">
        <f>S2*T2*U2/1000000000</f>
        <v>4.7999999999999996E-3</v>
      </c>
      <c r="W2" s="7" t="s">
        <v>30</v>
      </c>
      <c r="X2" s="7" t="s">
        <v>0</v>
      </c>
      <c r="Y2" s="7" t="s">
        <v>31</v>
      </c>
    </row>
    <row r="3" spans="1:25" ht="83.25" customHeight="1">
      <c r="A3" s="7">
        <f>A2+1</f>
        <v>2</v>
      </c>
      <c r="B3" s="7" t="s">
        <v>32</v>
      </c>
      <c r="C3" s="8" t="s">
        <v>26</v>
      </c>
      <c r="D3" s="9" t="s">
        <v>0</v>
      </c>
      <c r="E3" s="9" t="s">
        <v>0</v>
      </c>
      <c r="F3" s="10" t="s">
        <v>0</v>
      </c>
      <c r="G3" s="10" t="s">
        <v>0</v>
      </c>
      <c r="H3" s="11">
        <v>44494</v>
      </c>
      <c r="I3" s="14">
        <v>73181590</v>
      </c>
      <c r="J3" s="10" t="s">
        <v>27</v>
      </c>
      <c r="K3" s="15" t="s">
        <v>28</v>
      </c>
      <c r="L3" s="7"/>
      <c r="M3" s="7" t="s">
        <v>0</v>
      </c>
      <c r="N3" s="17">
        <v>164</v>
      </c>
      <c r="O3" s="9" t="s">
        <v>33</v>
      </c>
      <c r="P3" s="9">
        <v>1</v>
      </c>
      <c r="Q3" s="20">
        <v>11.05</v>
      </c>
      <c r="R3" s="9" t="s">
        <v>0</v>
      </c>
      <c r="S3" s="9">
        <v>250</v>
      </c>
      <c r="T3" s="9">
        <v>220</v>
      </c>
      <c r="U3" s="9">
        <v>190</v>
      </c>
      <c r="V3" s="9">
        <f>S3*T3*U3/1000000000</f>
        <v>1.0449999999999999E-2</v>
      </c>
      <c r="W3" s="7" t="s">
        <v>30</v>
      </c>
      <c r="X3" s="7" t="s">
        <v>0</v>
      </c>
      <c r="Y3" s="7" t="s">
        <v>31</v>
      </c>
    </row>
    <row r="4" spans="1:25" ht="83.25" customHeight="1">
      <c r="A4" s="7">
        <f t="shared" ref="A4:A6" si="0">A3+1</f>
        <v>3</v>
      </c>
      <c r="B4" s="12" t="s">
        <v>34</v>
      </c>
      <c r="C4" s="8" t="s">
        <v>26</v>
      </c>
      <c r="D4" s="9" t="s">
        <v>0</v>
      </c>
      <c r="E4" s="9" t="s">
        <v>0</v>
      </c>
      <c r="F4" s="10" t="s">
        <v>0</v>
      </c>
      <c r="G4" s="10" t="s">
        <v>0</v>
      </c>
      <c r="H4" s="11">
        <v>44494</v>
      </c>
      <c r="I4" s="14">
        <v>73202090</v>
      </c>
      <c r="J4" s="10" t="s">
        <v>27</v>
      </c>
      <c r="K4" s="15" t="s">
        <v>28</v>
      </c>
      <c r="L4" s="7"/>
      <c r="M4" s="7" t="s">
        <v>0</v>
      </c>
      <c r="N4" s="17">
        <v>717</v>
      </c>
      <c r="O4" s="9" t="s">
        <v>29</v>
      </c>
      <c r="P4" s="9">
        <v>1</v>
      </c>
      <c r="Q4" s="20">
        <v>20.5</v>
      </c>
      <c r="R4" s="9" t="s">
        <v>0</v>
      </c>
      <c r="S4" s="9">
        <v>340</v>
      </c>
      <c r="T4" s="9">
        <v>220</v>
      </c>
      <c r="U4" s="9">
        <v>210</v>
      </c>
      <c r="V4" s="9">
        <f>S4*T4*U4/1000000000</f>
        <v>1.5708E-2</v>
      </c>
      <c r="W4" s="7" t="s">
        <v>30</v>
      </c>
      <c r="X4" s="7" t="s">
        <v>0</v>
      </c>
      <c r="Y4" s="7" t="s">
        <v>31</v>
      </c>
    </row>
    <row r="5" spans="1:25" ht="83.25" customHeight="1">
      <c r="A5" s="7">
        <f t="shared" si="0"/>
        <v>4</v>
      </c>
      <c r="B5" s="12" t="s">
        <v>35</v>
      </c>
      <c r="C5" s="8" t="s">
        <v>26</v>
      </c>
      <c r="D5" s="9" t="s">
        <v>0</v>
      </c>
      <c r="E5" s="9" t="s">
        <v>0</v>
      </c>
      <c r="F5" s="10" t="s">
        <v>0</v>
      </c>
      <c r="G5" s="10" t="s">
        <v>0</v>
      </c>
      <c r="H5" s="11">
        <v>44494</v>
      </c>
      <c r="I5" s="14">
        <v>73269099</v>
      </c>
      <c r="J5" s="10" t="s">
        <v>27</v>
      </c>
      <c r="K5" s="15" t="s">
        <v>28</v>
      </c>
      <c r="L5" s="7"/>
      <c r="M5" s="7" t="s">
        <v>0</v>
      </c>
      <c r="N5" s="17">
        <v>29</v>
      </c>
      <c r="O5" s="9" t="s">
        <v>36</v>
      </c>
      <c r="P5" s="9">
        <v>1</v>
      </c>
      <c r="Q5" s="9">
        <v>5.95</v>
      </c>
      <c r="R5" s="9" t="s">
        <v>0</v>
      </c>
      <c r="S5" s="9">
        <v>300</v>
      </c>
      <c r="T5" s="9">
        <v>150</v>
      </c>
      <c r="U5" s="9">
        <v>100</v>
      </c>
      <c r="V5" s="9">
        <f>S5*T5*U5/1000000000</f>
        <v>4.4999999999999997E-3</v>
      </c>
      <c r="W5" s="7" t="s">
        <v>30</v>
      </c>
      <c r="X5" s="7" t="s">
        <v>0</v>
      </c>
      <c r="Y5" s="7" t="s">
        <v>31</v>
      </c>
    </row>
    <row r="6" spans="1:25" ht="83.1" customHeight="1">
      <c r="A6" s="7">
        <f t="shared" si="0"/>
        <v>5</v>
      </c>
      <c r="B6" s="12" t="s">
        <v>37</v>
      </c>
      <c r="C6" s="8" t="s">
        <v>26</v>
      </c>
      <c r="D6" s="9" t="s">
        <v>0</v>
      </c>
      <c r="E6" s="9" t="s">
        <v>0</v>
      </c>
      <c r="F6" s="10" t="s">
        <v>0</v>
      </c>
      <c r="G6" s="10" t="s">
        <v>0</v>
      </c>
      <c r="H6" s="11">
        <v>44494</v>
      </c>
      <c r="I6" s="14">
        <v>76169959</v>
      </c>
      <c r="J6" s="10" t="s">
        <v>27</v>
      </c>
      <c r="K6" s="15" t="s">
        <v>28</v>
      </c>
      <c r="L6" s="18"/>
      <c r="M6" s="7" t="s">
        <v>0</v>
      </c>
      <c r="N6" s="8">
        <v>5</v>
      </c>
      <c r="O6" s="9" t="s">
        <v>38</v>
      </c>
      <c r="P6" s="7">
        <v>1</v>
      </c>
      <c r="Q6" s="16" t="s">
        <v>39</v>
      </c>
      <c r="R6" s="9" t="s">
        <v>0</v>
      </c>
      <c r="S6" s="9">
        <v>500</v>
      </c>
      <c r="T6" s="9">
        <v>400</v>
      </c>
      <c r="U6" s="9">
        <v>200</v>
      </c>
      <c r="V6" s="9">
        <f>S6*T6*U6/1000000000</f>
        <v>0.04</v>
      </c>
      <c r="W6" s="7" t="s">
        <v>30</v>
      </c>
      <c r="X6" s="7" t="s">
        <v>0</v>
      </c>
      <c r="Y6" s="7" t="s">
        <v>31</v>
      </c>
    </row>
    <row r="7" spans="1:25" ht="86.1" customHeight="1"/>
    <row r="8" spans="1:25" ht="119.1" customHeight="1"/>
  </sheetData>
  <pageMargins left="0.47152777777777799" right="0.196527777777778" top="0.39305555555555599" bottom="0.31388888888888899" header="0.31388888888888899" footer="0.31388888888888899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PC</cp:lastModifiedBy>
  <cp:lastPrinted>2021-07-22T06:54:00Z</cp:lastPrinted>
  <dcterms:created xsi:type="dcterms:W3CDTF">2021-07-22T02:15:00Z</dcterms:created>
  <dcterms:modified xsi:type="dcterms:W3CDTF">2021-11-17T06:27:18Z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