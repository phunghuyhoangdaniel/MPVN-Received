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ndoanh\Documents\"/>
    </mc:Choice>
  </mc:AlternateContent>
  <xr:revisionPtr revIDLastSave="0" documentId="8_{7DB9186A-E4EC-43E5-866D-2E21993D41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20260709" sheetId="11" r:id="rId1"/>
  </sheets>
  <definedNames>
    <definedName name="_xlnm._FilterDatabase" localSheetId="0" hidden="1">M20260709!$A$1:$AG$5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11" l="1"/>
  <c r="AA5" i="11"/>
  <c r="Z5" i="11"/>
  <c r="W2" i="11"/>
  <c r="X2" i="11"/>
  <c r="W3" i="11"/>
  <c r="X3" i="11"/>
  <c r="W4" i="11"/>
  <c r="X4" i="11"/>
  <c r="X5" i="11"/>
  <c r="U5" i="11"/>
  <c r="AG4" i="11"/>
  <c r="AG3" i="11"/>
  <c r="AG2" i="11"/>
</calcChain>
</file>

<file path=xl/sharedStrings.xml><?xml version="1.0" encoding="utf-8"?>
<sst xmlns="http://schemas.openxmlformats.org/spreadsheetml/2006/main" count="86" uniqueCount="62">
  <si>
    <t>1) ENGLISH ITEM NAME
 (ex : OOOO machine)</t>
  </si>
  <si>
    <r>
      <rPr>
        <b/>
        <sz val="12"/>
        <color rgb="FF000000"/>
        <rFont val="Arial"/>
        <charset val="134"/>
      </rPr>
      <t>2)</t>
    </r>
    <r>
      <rPr>
        <b/>
        <sz val="12"/>
        <color rgb="FF000000"/>
        <rFont val="楷体"/>
        <charset val="134"/>
      </rPr>
      <t>中文名称</t>
    </r>
  </si>
  <si>
    <t>3) MANUFACTUROR
(ex : OOO company)</t>
  </si>
  <si>
    <r>
      <rPr>
        <b/>
        <sz val="12"/>
        <color rgb="FF000000"/>
        <rFont val="楷体"/>
        <charset val="134"/>
      </rPr>
      <t>品牌</t>
    </r>
  </si>
  <si>
    <t>4) MODEL NO 
(ex : abc-123)</t>
  </si>
  <si>
    <t>MOLD NO</t>
  </si>
  <si>
    <t>5)Serial number</t>
  </si>
  <si>
    <t>6)CN hs code</t>
  </si>
  <si>
    <t>7)VN hs code</t>
  </si>
  <si>
    <r>
      <rPr>
        <b/>
        <sz val="12"/>
        <color rgb="FF000000"/>
        <rFont val="楷体"/>
        <charset val="134"/>
      </rPr>
      <t>申报要素</t>
    </r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</si>
  <si>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</si>
  <si>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</si>
  <si>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</si>
  <si>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</si>
  <si>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</si>
  <si>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</si>
  <si>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</si>
  <si>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</si>
  <si>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</si>
  <si>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</si>
  <si>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</si>
  <si>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</si>
  <si>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</si>
  <si>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</si>
  <si>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</si>
  <si>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</si>
  <si>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</si>
  <si>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r>
      <rPr>
        <b/>
        <sz val="12"/>
        <color rgb="FF000000"/>
        <rFont val="Arial"/>
        <charset val="134"/>
      </rPr>
      <t>25)Part size</t>
    </r>
    <r>
      <rPr>
        <b/>
        <sz val="12"/>
        <color rgb="FF000000"/>
        <rFont val="宋体"/>
        <charset val="134"/>
      </rPr>
      <t>（</t>
    </r>
    <r>
      <rPr>
        <b/>
        <sz val="12"/>
        <color rgb="FF000000"/>
        <rFont val="Arial"/>
        <charset val="134"/>
      </rPr>
      <t>CM)</t>
    </r>
  </si>
  <si>
    <r>
      <rPr>
        <b/>
        <sz val="12"/>
        <color rgb="FF000000"/>
        <rFont val="Arial"/>
        <charset val="134"/>
      </rPr>
      <t>26)</t>
    </r>
    <r>
      <rPr>
        <b/>
        <sz val="12"/>
        <color rgb="FF000000"/>
        <rFont val="楷体"/>
        <charset val="134"/>
      </rPr>
      <t>应用范围</t>
    </r>
  </si>
  <si>
    <r>
      <rPr>
        <b/>
        <sz val="12"/>
        <color rgb="FF000000"/>
        <rFont val="Arial"/>
        <charset val="134"/>
      </rPr>
      <t>27)</t>
    </r>
    <r>
      <rPr>
        <b/>
        <sz val="12"/>
        <color rgb="FF000000"/>
        <rFont val="楷体"/>
        <charset val="134"/>
      </rPr>
      <t>是否带电源</t>
    </r>
  </si>
  <si>
    <r>
      <rPr>
        <b/>
        <sz val="12"/>
        <color rgb="FFFF0000"/>
        <rFont val="Arial"/>
        <charset val="134"/>
      </rPr>
      <t>PR</t>
    </r>
    <r>
      <rPr>
        <b/>
        <sz val="12"/>
        <color rgb="FFFF0000"/>
        <rFont val="楷体"/>
        <charset val="134"/>
      </rPr>
      <t>单价</t>
    </r>
  </si>
  <si>
    <t>DEFORMATION MEASUREMENT FIXTURE (A)</t>
  </si>
  <si>
    <t>变形测量治具（A）</t>
  </si>
  <si>
    <t>TECHSEN ELECTRONICS(SHENZHEN)CO.,LTD</t>
  </si>
  <si>
    <t>AE-BRISA</t>
  </si>
  <si>
    <t>/</t>
  </si>
  <si>
    <t>AE-BRISAF01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</si>
  <si>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|AE-BRISA</t>
    </r>
    <r>
      <rPr>
        <sz val="10"/>
        <color rgb="FF000000"/>
        <rFont val="宋体"/>
        <charset val="134"/>
      </rPr>
      <t>型</t>
    </r>
  </si>
  <si>
    <t>AL</t>
  </si>
  <si>
    <t>CHINA</t>
  </si>
  <si>
    <t>NEW</t>
  </si>
  <si>
    <t>Y1</t>
  </si>
  <si>
    <t>29X20X15</t>
  </si>
  <si>
    <t>15.5X12X5.5</t>
  </si>
  <si>
    <t>ASSEMBLY USE</t>
  </si>
  <si>
    <t>NO</t>
  </si>
  <si>
    <t>DEFORMATION MEASUREMENT FIXTURE (B)</t>
  </si>
  <si>
    <t>变形测量治具（B）</t>
  </si>
  <si>
    <t>AE-BRISAF02</t>
  </si>
  <si>
    <t>9X6.5X6</t>
  </si>
  <si>
    <t>MEASUREMENT BUTTON FIXTURE</t>
  </si>
  <si>
    <t>测量按钮治具</t>
  </si>
  <si>
    <t>AE-BRISAF03</t>
  </si>
  <si>
    <t>2.5X1.5X1</t>
  </si>
  <si>
    <t>Tên</t>
  </si>
  <si>
    <t>Công dụng</t>
  </si>
  <si>
    <t>Kiểm tra độ cong vênh của vỏ nhựa theo từng cấp độ</t>
  </si>
  <si>
    <t>Cố định, định hướng cho sản phẩm trong quá trình kiểm tra độ cong vênh</t>
  </si>
  <si>
    <t>Đồ gá cố định đo độ cong vênh</t>
  </si>
  <si>
    <t>Đồ gá đánh giá mức độ cong vênh</t>
  </si>
  <si>
    <t>Đồ giá kiểm tra độ cao nút</t>
  </si>
  <si>
    <t>Kiểm tra độ cao của nút nhấn của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</si>
</sst>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00_ "/>
    <numFmt numFmtId="169" formatCode="0.00_ "/>
    <numFmt numFmtId="170" formatCode="0_ "/>
    <numFmt numFmtId="171" formatCode="yyyy/m/d;@"/>
  </numFmts>
  <fonts count="17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sz val="10"/>
      <name val="Arial"/>
      <charset val="134"/>
    </font>
    <font>
      <b/>
      <sz val="12"/>
      <color rgb="FF000000"/>
      <name val="Arial"/>
      <charset val="134"/>
    </font>
    <font>
      <sz val="10"/>
      <name val="宋体"/>
      <charset val="134"/>
    </font>
    <font>
      <sz val="10"/>
      <name val="新宋体"/>
      <charset val="134"/>
    </font>
    <font>
      <sz val="10"/>
      <color rgb="FF000000"/>
      <name val="Arial"/>
      <charset val="134"/>
    </font>
    <font>
      <sz val="10"/>
      <name val="Arial"/>
    </font>
    <font>
      <b/>
      <sz val="12"/>
      <color rgb="FFFF0000"/>
      <name val="Arial"/>
      <charset val="134"/>
    </font>
    <font>
      <sz val="10"/>
      <name val="Arial"/>
      <charset val="1"/>
    </font>
    <font>
      <b/>
      <sz val="12"/>
      <color rgb="FF000000"/>
      <name val="楷体"/>
      <charset val="134"/>
    </font>
    <font>
      <b/>
      <sz val="12"/>
      <color rgb="FF000000"/>
      <name val="宋体"/>
      <charset val="134"/>
    </font>
    <font>
      <b/>
      <sz val="12"/>
      <color rgb="FFFF0000"/>
      <name val="楷体"/>
      <charset val="134"/>
    </font>
    <font>
      <sz val="10"/>
      <color rgb="FF000000"/>
      <name val="宋体"/>
      <charset val="134"/>
    </font>
    <font>
      <sz val="11"/>
      <color theme="1"/>
      <name val="Calibri"/>
      <charset val="134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69" fontId="2" fillId="0" borderId="0" xfId="0" applyNumberFormat="1" applyFont="1" applyAlignment="1">
      <alignment horizontal="left" vertical="center"/>
    </xf>
    <xf numFmtId="169" fontId="2" fillId="0" borderId="0" xfId="0" applyNumberFormat="1" applyFont="1" applyAlignment="1">
      <alignment horizontal="center" vertical="center"/>
    </xf>
    <xf numFmtId="170" fontId="3" fillId="0" borderId="1" xfId="0" applyNumberFormat="1" applyFont="1" applyBorder="1" applyAlignment="1">
      <alignment horizontal="left" vertical="center" wrapText="1"/>
    </xf>
    <xf numFmtId="170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0" fontId="4" fillId="0" borderId="1" xfId="0" applyNumberFormat="1" applyFont="1" applyBorder="1" applyAlignment="1">
      <alignment horizontal="left" vertical="center" wrapText="1"/>
    </xf>
    <xf numFmtId="170" fontId="2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70" fontId="6" fillId="0" borderId="2" xfId="0" applyNumberFormat="1" applyFont="1" applyBorder="1" applyAlignment="1">
      <alignment horizontal="left" vertical="center" wrapText="1"/>
    </xf>
    <xf numFmtId="171" fontId="2" fillId="0" borderId="1" xfId="0" applyNumberFormat="1" applyFont="1" applyBorder="1" applyAlignment="1">
      <alignment horizontal="left" vertical="center" wrapText="1"/>
    </xf>
    <xf numFmtId="169" fontId="3" fillId="0" borderId="1" xfId="0" applyNumberFormat="1" applyFont="1" applyBorder="1" applyAlignment="1">
      <alignment horizontal="center" vertical="center" wrapText="1"/>
    </xf>
    <xf numFmtId="170" fontId="2" fillId="0" borderId="1" xfId="0" applyNumberFormat="1" applyFont="1" applyBorder="1" applyAlignment="1">
      <alignment vertical="center" wrapText="1"/>
    </xf>
    <xf numFmtId="165" fontId="7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 wrapText="1"/>
    </xf>
    <xf numFmtId="169" fontId="2" fillId="0" borderId="1" xfId="0" applyNumberFormat="1" applyFont="1" applyBorder="1" applyAlignment="1">
      <alignment horizontal="left" vertical="center" wrapText="1"/>
    </xf>
    <xf numFmtId="170" fontId="8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5" fontId="2" fillId="0" borderId="3" xfId="0" applyNumberFormat="1" applyFont="1" applyBorder="1" applyAlignment="1">
      <alignment horizontal="left" vertical="center" wrapText="1"/>
    </xf>
    <xf numFmtId="170" fontId="2" fillId="0" borderId="3" xfId="0" applyNumberFormat="1" applyFont="1" applyBorder="1" applyAlignment="1">
      <alignment horizontal="center" vertical="center" wrapText="1"/>
    </xf>
    <xf numFmtId="170" fontId="2" fillId="0" borderId="4" xfId="0" applyNumberFormat="1" applyFont="1" applyBorder="1" applyAlignment="1">
      <alignment horizontal="center" vertical="center" wrapText="1"/>
    </xf>
    <xf numFmtId="170" fontId="2" fillId="0" borderId="5" xfId="0" applyNumberFormat="1" applyFont="1" applyBorder="1" applyAlignment="1">
      <alignment horizontal="center" vertical="center" wrapText="1"/>
    </xf>
    <xf numFmtId="169" fontId="2" fillId="0" borderId="3" xfId="0" applyNumberFormat="1" applyFont="1" applyBorder="1" applyAlignment="1">
      <alignment horizontal="center" vertical="center" wrapText="1"/>
    </xf>
    <xf numFmtId="169" fontId="2" fillId="0" borderId="4" xfId="0" applyNumberFormat="1" applyFont="1" applyBorder="1" applyAlignment="1">
      <alignment horizontal="center" vertical="center" wrapText="1"/>
    </xf>
    <xf numFmtId="169" fontId="2" fillId="0" borderId="5" xfId="0" applyNumberFormat="1" applyFont="1" applyBorder="1" applyAlignment="1">
      <alignment horizontal="center" vertical="center" wrapText="1"/>
    </xf>
    <xf numFmtId="170" fontId="2" fillId="0" borderId="6" xfId="0" applyNumberFormat="1" applyFont="1" applyBorder="1" applyAlignment="1">
      <alignment horizontal="left" vertical="center" wrapText="1"/>
    </xf>
    <xf numFmtId="170" fontId="3" fillId="2" borderId="3" xfId="0" applyNumberFormat="1" applyFont="1" applyFill="1" applyBorder="1" applyAlignment="1">
      <alignment horizontal="center" vertical="center" wrapText="1"/>
    </xf>
    <xf numFmtId="170" fontId="15" fillId="2" borderId="2" xfId="0" applyNumberFormat="1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</cellXfs>
  <cellStyles count="3">
    <cellStyle name="Normal" xfId="0" builtinId="0"/>
    <cellStyle name="常规 2" xfId="1" xr:uid="{00000000-0005-0000-0000-000032000000}"/>
    <cellStyle name="常规 3" xfId="2" xr:uid="{00000000-0005-0000-0000-000033000000}"/>
  </cellStyles>
  <dxfs count="0"/>
  <tableStyles count="0" defaultTableStyle="TableStyleMedium9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751205</xdr:colOff>
      <xdr:row>3</xdr:row>
      <xdr:rowOff>123825</xdr:rowOff>
    </xdr:from>
    <xdr:to>
      <xdr:col>19</xdr:col>
      <xdr:colOff>1336040</xdr:colOff>
      <xdr:row>3</xdr:row>
      <xdr:rowOff>443230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2941" r="52328"/>
        <a:stretch>
          <a:fillRect/>
        </a:stretch>
      </xdr:blipFill>
      <xdr:spPr>
        <a:xfrm>
          <a:off x="25591770" y="1800225"/>
          <a:ext cx="584835" cy="3194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316547</xdr:colOff>
      <xdr:row>1</xdr:row>
      <xdr:rowOff>126047</xdr:rowOff>
    </xdr:from>
    <xdr:to>
      <xdr:col>18</xdr:col>
      <xdr:colOff>712787</xdr:colOff>
      <xdr:row>1</xdr:row>
      <xdr:rowOff>425132</xdr:rowOff>
    </xdr:to>
    <xdr:pic>
      <xdr:nvPicPr>
        <xdr:cNvPr id="5" name="图片 4" descr="IMG_20260720_090651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7098" t="8765" r="10103" b="9059"/>
        <a:stretch>
          <a:fillRect/>
        </a:stretch>
      </xdr:blipFill>
      <xdr:spPr>
        <a:xfrm rot="16200000">
          <a:off x="25854024" y="658495"/>
          <a:ext cx="299085" cy="396240"/>
        </a:xfrm>
        <a:prstGeom prst="rect">
          <a:avLst/>
        </a:prstGeom>
      </xdr:spPr>
    </xdr:pic>
    <xdr:clientData/>
  </xdr:twoCellAnchor>
  <xdr:twoCellAnchor editAs="oneCell">
    <xdr:from>
      <xdr:col>18</xdr:col>
      <xdr:colOff>305435</xdr:colOff>
      <xdr:row>2</xdr:row>
      <xdr:rowOff>128905</xdr:rowOff>
    </xdr:from>
    <xdr:to>
      <xdr:col>18</xdr:col>
      <xdr:colOff>756285</xdr:colOff>
      <xdr:row>2</xdr:row>
      <xdr:rowOff>441325</xdr:rowOff>
    </xdr:to>
    <xdr:pic>
      <xdr:nvPicPr>
        <xdr:cNvPr id="6" name="图片 5" descr="IMG_20260720_090659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2211" t="22092" r="10593" b="6523"/>
        <a:stretch>
          <a:fillRect/>
        </a:stretch>
      </xdr:blipFill>
      <xdr:spPr>
        <a:xfrm>
          <a:off x="25794335" y="1252855"/>
          <a:ext cx="450850" cy="312420"/>
        </a:xfrm>
        <a:prstGeom prst="rect">
          <a:avLst/>
        </a:prstGeom>
      </xdr:spPr>
    </xdr:pic>
    <xdr:clientData/>
  </xdr:twoCellAnchor>
  <xdr:twoCellAnchor editAs="oneCell">
    <xdr:from>
      <xdr:col>18</xdr:col>
      <xdr:colOff>325120</xdr:colOff>
      <xdr:row>3</xdr:row>
      <xdr:rowOff>132715</xdr:rowOff>
    </xdr:from>
    <xdr:to>
      <xdr:col>18</xdr:col>
      <xdr:colOff>768350</xdr:colOff>
      <xdr:row>3</xdr:row>
      <xdr:rowOff>468630</xdr:rowOff>
    </xdr:to>
    <xdr:pic>
      <xdr:nvPicPr>
        <xdr:cNvPr id="7" name="图片 6" descr="IMG_20260720_090709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48701" t="23432" r="12701" b="37555"/>
        <a:stretch>
          <a:fillRect/>
        </a:stretch>
      </xdr:blipFill>
      <xdr:spPr>
        <a:xfrm>
          <a:off x="24079835" y="1809115"/>
          <a:ext cx="443230" cy="335915"/>
        </a:xfrm>
        <a:prstGeom prst="rect">
          <a:avLst/>
        </a:prstGeom>
      </xdr:spPr>
    </xdr:pic>
    <xdr:clientData/>
  </xdr:twoCellAnchor>
  <xdr:twoCellAnchor editAs="oneCell">
    <xdr:from>
      <xdr:col>19</xdr:col>
      <xdr:colOff>839470</xdr:colOff>
      <xdr:row>1</xdr:row>
      <xdr:rowOff>136525</xdr:rowOff>
    </xdr:from>
    <xdr:to>
      <xdr:col>19</xdr:col>
      <xdr:colOff>1366520</xdr:colOff>
      <xdr:row>1</xdr:row>
      <xdr:rowOff>433705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r="52113"/>
        <a:stretch>
          <a:fillRect/>
        </a:stretch>
      </xdr:blipFill>
      <xdr:spPr>
        <a:xfrm>
          <a:off x="25680035" y="720725"/>
          <a:ext cx="527050" cy="297180"/>
        </a:xfrm>
        <a:prstGeom prst="rect">
          <a:avLst/>
        </a:prstGeom>
      </xdr:spPr>
    </xdr:pic>
    <xdr:clientData/>
  </xdr:twoCellAnchor>
  <xdr:twoCellAnchor editAs="oneCell">
    <xdr:from>
      <xdr:col>19</xdr:col>
      <xdr:colOff>866775</xdr:colOff>
      <xdr:row>2</xdr:row>
      <xdr:rowOff>124460</xdr:rowOff>
    </xdr:from>
    <xdr:to>
      <xdr:col>19</xdr:col>
      <xdr:colOff>1405890</xdr:colOff>
      <xdr:row>2</xdr:row>
      <xdr:rowOff>422275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51056"/>
        <a:stretch>
          <a:fillRect/>
        </a:stretch>
      </xdr:blipFill>
      <xdr:spPr>
        <a:xfrm>
          <a:off x="25707340" y="1254760"/>
          <a:ext cx="539115" cy="297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"/>
  <sheetViews>
    <sheetView showGridLines="0" tabSelected="1" workbookViewId="0">
      <pane xSplit="2" topLeftCell="J1" activePane="topRight" state="frozen"/>
      <selection pane="topRight" activeCell="M8" sqref="M8"/>
    </sheetView>
  </sheetViews>
  <sheetFormatPr defaultColWidth="9" defaultRowHeight="36" customHeight="1"/>
  <cols>
    <col min="1" max="1" width="26.85546875" style="3" customWidth="1"/>
    <col min="2" max="2" width="17.7109375" style="2" customWidth="1"/>
    <col min="3" max="3" width="41.7109375" style="2" customWidth="1"/>
    <col min="4" max="4" width="9" style="2" hidden="1" customWidth="1"/>
    <col min="5" max="5" width="20.42578125" style="2" customWidth="1"/>
    <col min="6" max="6" width="14.5703125" style="2" customWidth="1"/>
    <col min="7" max="7" width="20.140625" style="4" customWidth="1"/>
    <col min="8" max="8" width="13.5703125" style="4" customWidth="1"/>
    <col min="9" max="9" width="12.5703125" style="4" customWidth="1"/>
    <col min="10" max="10" width="49.28515625" style="4" customWidth="1"/>
    <col min="11" max="12" width="35.28515625" style="4" customWidth="1"/>
    <col min="13" max="13" width="23" style="4" customWidth="1"/>
    <col min="14" max="15" width="14.140625" style="2" customWidth="1"/>
    <col min="16" max="16" width="12" style="2" customWidth="1"/>
    <col min="17" max="17" width="15.85546875" style="2" customWidth="1"/>
    <col min="18" max="18" width="15.7109375" style="2" customWidth="1"/>
    <col min="19" max="19" width="14.28515625" style="2" customWidth="1"/>
    <col min="20" max="20" width="28.7109375" style="2" customWidth="1"/>
    <col min="21" max="21" width="14.28515625" style="2" customWidth="1"/>
    <col min="22" max="23" width="16.42578125" style="5" customWidth="1"/>
    <col min="24" max="24" width="15" style="6" customWidth="1"/>
    <col min="25" max="25" width="17" style="3" customWidth="1"/>
    <col min="26" max="26" width="10.5703125" style="3" customWidth="1"/>
    <col min="27" max="27" width="11.5703125" style="7" customWidth="1"/>
    <col min="28" max="28" width="11.5703125" style="6" customWidth="1"/>
    <col min="29" max="29" width="19.5703125" style="3" customWidth="1"/>
    <col min="30" max="30" width="18.140625" style="2" customWidth="1"/>
    <col min="31" max="31" width="22.85546875" style="2" customWidth="1"/>
    <col min="32" max="32" width="17" style="2" customWidth="1"/>
    <col min="33" max="33" width="11.42578125" style="2" customWidth="1"/>
    <col min="34" max="34" width="14.85546875" style="2"/>
    <col min="35" max="16384" width="9" style="2"/>
  </cols>
  <sheetData>
    <row r="1" spans="1:33" s="1" customFormat="1" ht="45.95" customHeigh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31" t="s">
        <v>54</v>
      </c>
      <c r="L1" s="31" t="s">
        <v>55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16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21" t="s">
        <v>30</v>
      </c>
    </row>
    <row r="2" spans="1:33" ht="42.95" customHeight="1">
      <c r="A2" s="33" t="s">
        <v>31</v>
      </c>
      <c r="B2" s="11" t="s">
        <v>32</v>
      </c>
      <c r="C2" s="12" t="s">
        <v>33</v>
      </c>
      <c r="D2" s="12"/>
      <c r="E2" s="12" t="s">
        <v>34</v>
      </c>
      <c r="F2" s="12" t="s">
        <v>35</v>
      </c>
      <c r="G2" s="12" t="s">
        <v>36</v>
      </c>
      <c r="H2" s="12">
        <v>8466200090</v>
      </c>
      <c r="I2" s="10">
        <v>84662090</v>
      </c>
      <c r="J2" s="14" t="s">
        <v>37</v>
      </c>
      <c r="K2" s="32" t="s">
        <v>58</v>
      </c>
      <c r="L2" s="32" t="s">
        <v>57</v>
      </c>
      <c r="M2" s="30" t="s">
        <v>38</v>
      </c>
      <c r="N2" s="12" t="s">
        <v>35</v>
      </c>
      <c r="O2" s="12" t="s">
        <v>35</v>
      </c>
      <c r="P2" s="15">
        <v>46219</v>
      </c>
      <c r="Q2" s="12" t="s">
        <v>39</v>
      </c>
      <c r="R2" s="12" t="s">
        <v>40</v>
      </c>
      <c r="S2" s="17"/>
      <c r="T2" s="12"/>
      <c r="U2" s="12">
        <v>1</v>
      </c>
      <c r="V2" s="18">
        <v>500</v>
      </c>
      <c r="W2" s="19">
        <f>ROUND(V2/1.13*1.08/6.8067,4)</f>
        <v>70.206699999999998</v>
      </c>
      <c r="X2" s="20">
        <f>ROUND(W2*U2,2)</f>
        <v>70.209999999999994</v>
      </c>
      <c r="Y2" s="24" t="s">
        <v>41</v>
      </c>
      <c r="Z2" s="24">
        <v>1</v>
      </c>
      <c r="AA2" s="27">
        <v>2.1</v>
      </c>
      <c r="AB2" s="10">
        <v>1.27</v>
      </c>
      <c r="AC2" s="24" t="s">
        <v>42</v>
      </c>
      <c r="AD2" s="10" t="s">
        <v>43</v>
      </c>
      <c r="AE2" s="10" t="s">
        <v>44</v>
      </c>
      <c r="AF2" s="22" t="s">
        <v>45</v>
      </c>
      <c r="AG2" s="23">
        <f>ROUND(V2/1.13*1.08,4)</f>
        <v>477.87610000000001</v>
      </c>
    </row>
    <row r="3" spans="1:33" ht="42.95" customHeight="1">
      <c r="A3" s="10" t="s">
        <v>46</v>
      </c>
      <c r="B3" s="13" t="s">
        <v>47</v>
      </c>
      <c r="C3" s="12" t="s">
        <v>33</v>
      </c>
      <c r="D3" s="11"/>
      <c r="E3" s="10" t="s">
        <v>34</v>
      </c>
      <c r="F3" s="12" t="s">
        <v>35</v>
      </c>
      <c r="G3" s="10" t="s">
        <v>48</v>
      </c>
      <c r="H3" s="12">
        <v>8466200090</v>
      </c>
      <c r="I3" s="10">
        <v>84662090</v>
      </c>
      <c r="J3" s="14" t="s">
        <v>37</v>
      </c>
      <c r="K3" s="32" t="s">
        <v>59</v>
      </c>
      <c r="L3" s="32" t="s">
        <v>56</v>
      </c>
      <c r="M3" s="30" t="s">
        <v>38</v>
      </c>
      <c r="N3" s="12" t="s">
        <v>35</v>
      </c>
      <c r="O3" s="12" t="s">
        <v>35</v>
      </c>
      <c r="P3" s="15">
        <v>46219</v>
      </c>
      <c r="Q3" s="12" t="s">
        <v>39</v>
      </c>
      <c r="R3" s="12" t="s">
        <v>40</v>
      </c>
      <c r="S3" s="17"/>
      <c r="T3" s="12"/>
      <c r="U3" s="12">
        <v>1</v>
      </c>
      <c r="V3" s="18">
        <v>400</v>
      </c>
      <c r="W3" s="19">
        <f>ROUND(V3/1.13*1.08/6.8067,4)</f>
        <v>56.165399999999998</v>
      </c>
      <c r="X3" s="20">
        <f>ROUND(W3*U3,2)</f>
        <v>56.17</v>
      </c>
      <c r="Y3" s="25"/>
      <c r="Z3" s="25"/>
      <c r="AA3" s="28"/>
      <c r="AB3" s="10">
        <v>0.43</v>
      </c>
      <c r="AC3" s="25"/>
      <c r="AD3" s="10" t="s">
        <v>49</v>
      </c>
      <c r="AE3" s="10" t="s">
        <v>44</v>
      </c>
      <c r="AF3" s="22" t="s">
        <v>45</v>
      </c>
      <c r="AG3" s="23">
        <f>ROUND(V3/1.13*1.08,4)</f>
        <v>382.30090000000001</v>
      </c>
    </row>
    <row r="4" spans="1:33" ht="42.95" customHeight="1">
      <c r="A4" s="33" t="s">
        <v>50</v>
      </c>
      <c r="B4" s="13" t="s">
        <v>51</v>
      </c>
      <c r="C4" s="12" t="s">
        <v>33</v>
      </c>
      <c r="D4" s="11"/>
      <c r="E4" s="10" t="s">
        <v>34</v>
      </c>
      <c r="F4" s="12" t="s">
        <v>35</v>
      </c>
      <c r="G4" s="10" t="s">
        <v>52</v>
      </c>
      <c r="H4" s="12">
        <v>8466200090</v>
      </c>
      <c r="I4" s="10">
        <v>84662090</v>
      </c>
      <c r="J4" s="14" t="s">
        <v>37</v>
      </c>
      <c r="K4" s="32" t="s">
        <v>60</v>
      </c>
      <c r="L4" s="32" t="s">
        <v>61</v>
      </c>
      <c r="M4" s="30" t="s">
        <v>38</v>
      </c>
      <c r="N4" s="12" t="s">
        <v>35</v>
      </c>
      <c r="O4" s="12" t="s">
        <v>35</v>
      </c>
      <c r="P4" s="15">
        <v>46219</v>
      </c>
      <c r="Q4" s="12" t="s">
        <v>39</v>
      </c>
      <c r="R4" s="12" t="s">
        <v>40</v>
      </c>
      <c r="S4" s="17"/>
      <c r="T4" s="12"/>
      <c r="U4" s="12">
        <v>4</v>
      </c>
      <c r="V4" s="18">
        <v>80</v>
      </c>
      <c r="W4" s="19">
        <f>ROUND(V4/1.13*1.08/6.8067,4)</f>
        <v>11.2331</v>
      </c>
      <c r="X4" s="20">
        <f>ROUND(W4*U4,2)</f>
        <v>44.93</v>
      </c>
      <c r="Y4" s="26"/>
      <c r="Z4" s="26"/>
      <c r="AA4" s="29"/>
      <c r="AB4" s="10">
        <v>0.03</v>
      </c>
      <c r="AC4" s="26"/>
      <c r="AD4" s="10" t="s">
        <v>53</v>
      </c>
      <c r="AE4" s="10" t="s">
        <v>44</v>
      </c>
      <c r="AF4" s="22" t="s">
        <v>45</v>
      </c>
      <c r="AG4" s="23">
        <f>ROUND(V4/1.13*1.08,4)</f>
        <v>76.4602</v>
      </c>
    </row>
    <row r="5" spans="1:33" ht="36" customHeight="1">
      <c r="U5" s="2">
        <f>SUM(U2:U4)</f>
        <v>6</v>
      </c>
      <c r="X5" s="6">
        <f>SUM(X2:X4)</f>
        <v>171.31</v>
      </c>
      <c r="Z5" s="3">
        <f>SUM(Z2:Z4)</f>
        <v>1</v>
      </c>
      <c r="AA5" s="3">
        <f>SUM(AA2:AA4)</f>
        <v>2.1</v>
      </c>
      <c r="AB5" s="2">
        <f>SUM(AB2:AB4)</f>
        <v>1.73</v>
      </c>
    </row>
  </sheetData>
  <autoFilter ref="A1:AG5" xr:uid="{00000000-0009-0000-0000-000000000000}"/>
  <mergeCells count="4">
    <mergeCell ref="Y2:Y4"/>
    <mergeCell ref="Z2:Z4"/>
    <mergeCell ref="AA2:AA4"/>
    <mergeCell ref="AC2:AC4"/>
  </mergeCells>
  <pageMargins left="0.118055555555556" right="7.7777777777777807E-2" top="0.74791666666666701" bottom="0.74791666666666701" header="0.31388888888888899" footer="0.31388888888888899"/>
  <pageSetup paperSize="8" scale="7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M20260709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msoff20240901</cp:lastModifiedBy>
  <cp:lastPrinted>2021-07-22T06:54:00Z</cp:lastPrinted>
  <dcterms:created xsi:type="dcterms:W3CDTF">2021-07-22T02:15:00Z</dcterms:created>
  <dcterms:modified xsi:type="dcterms:W3CDTF">2026-07-24T01:30:38Z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8AB71097D07D4AD1872569C7738B11D5</vt:lpwstr>
  </property>
</Properties>
</file>