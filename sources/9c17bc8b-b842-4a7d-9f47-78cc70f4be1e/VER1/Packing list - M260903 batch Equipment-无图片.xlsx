
<file path=[Content_Types].xml><?xml version="1.0" encoding="utf-8"?>
<Types xmlns="http://schemas.openxmlformats.org/package/2006/content-types">
  <Default Extension="wmf" ContentType="image/x-wmf"/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990"/>
  </bookViews>
  <sheets>
    <sheet name="M20260903" sheetId="11" r:id="rId1"/>
  </sheets>
  <definedNames>
    <definedName name="_xlnm._FilterDatabase" localSheetId="0" hidden="1">M20260903!$A$1:$AF$57</definedName>
  </definedNames>
  <calcPr calcId="144525" concurrentCalc="0"/>
</workbook>
</file>

<file path=xl/comments1.xml><?xml version="1.0" encoding="utf-8"?>
<comments xmlns="http://schemas.openxmlformats.org/spreadsheetml/2006/main">
  <authors>
    <author>MSD03</author>
  </authors>
  <commentList>
    <comment ref="V2" authorId="0">
      <text>
        <r>
          <rPr>
            <b/>
            <sz val="9"/>
            <rFont val="宋体"/>
            <charset val="134"/>
          </rPr>
          <t>MSD03:</t>
        </r>
        <r>
          <rPr>
            <sz val="9"/>
            <rFont val="宋体"/>
            <charset val="134"/>
          </rPr>
          <t xml:space="preserve">
普票</t>
        </r>
      </text>
    </comment>
    <comment ref="V24" authorId="0">
      <text>
        <r>
          <rPr>
            <b/>
            <sz val="9"/>
            <rFont val="宋体"/>
            <charset val="134"/>
          </rPr>
          <t>MSD03:</t>
        </r>
        <r>
          <rPr>
            <sz val="9"/>
            <rFont val="宋体"/>
            <charset val="134"/>
          </rPr>
          <t xml:space="preserve">
13%</t>
        </r>
      </text>
    </comment>
    <comment ref="V26" authorId="0">
      <text>
        <r>
          <rPr>
            <b/>
            <sz val="9"/>
            <rFont val="宋体"/>
            <charset val="134"/>
          </rPr>
          <t>MSD03:</t>
        </r>
        <r>
          <rPr>
            <sz val="9"/>
            <rFont val="宋体"/>
            <charset val="134"/>
          </rPr>
          <t xml:space="preserve">
普票
</t>
        </r>
      </text>
    </comment>
    <comment ref="U45" authorId="0">
      <text>
        <r>
          <rPr>
            <b/>
            <sz val="9"/>
            <rFont val="宋体"/>
            <charset val="134"/>
          </rPr>
          <t>MSD03:</t>
        </r>
        <r>
          <rPr>
            <sz val="9"/>
            <rFont val="宋体"/>
            <charset val="134"/>
          </rPr>
          <t xml:space="preserve">
普票1%</t>
        </r>
      </text>
    </comment>
  </commentList>
</comments>
</file>

<file path=xl/sharedStrings.xml><?xml version="1.0" encoding="utf-8"?>
<sst xmlns="http://schemas.openxmlformats.org/spreadsheetml/2006/main" count="909" uniqueCount="339">
  <si>
    <t>1) ENGLISH ITEM NAME
 (ex : OOOO machine)</t>
  </si>
  <si>
    <r>
      <rPr>
        <b/>
        <sz val="12"/>
        <color rgb="FF000000"/>
        <rFont val="Arial"/>
        <charset val="134"/>
      </rPr>
      <t>2)</t>
    </r>
    <r>
      <rPr>
        <b/>
        <sz val="12"/>
        <color rgb="FF000000"/>
        <rFont val="楷体"/>
        <charset val="134"/>
      </rPr>
      <t>中文名称</t>
    </r>
  </si>
  <si>
    <t>3) MANUFACTUROR
(ex : OOO company)</t>
  </si>
  <si>
    <r>
      <rPr>
        <b/>
        <sz val="12"/>
        <color rgb="FF000000"/>
        <rFont val="楷体"/>
        <charset val="134"/>
      </rPr>
      <t>品牌</t>
    </r>
  </si>
  <si>
    <t>4) MODEL NO 
(ex : abc-123)</t>
  </si>
  <si>
    <t>MOLD NO</t>
  </si>
  <si>
    <t>5)Serial number</t>
  </si>
  <si>
    <t>6)CN hs code</t>
  </si>
  <si>
    <t>7)VN hs code</t>
  </si>
  <si>
    <r>
      <rPr>
        <b/>
        <sz val="12"/>
        <color rgb="FF000000"/>
        <rFont val="楷体"/>
        <charset val="134"/>
      </rPr>
      <t>申报要素</t>
    </r>
  </si>
  <si>
    <t>8)Material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</si>
  <si>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</si>
  <si>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</si>
  <si>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</si>
  <si>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</si>
  <si>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</si>
  <si>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</si>
  <si>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</si>
  <si>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</si>
  <si>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</si>
  <si>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</si>
  <si>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</si>
  <si>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</si>
  <si>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</si>
  <si>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</si>
  <si>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</si>
  <si>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</si>
  <si>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r>
      <rPr>
        <b/>
        <sz val="12"/>
        <color rgb="FF000000"/>
        <rFont val="Arial"/>
        <charset val="134"/>
      </rPr>
      <t>25)Part size</t>
    </r>
    <r>
      <rPr>
        <b/>
        <sz val="12"/>
        <color rgb="FF000000"/>
        <rFont val="宋体"/>
        <charset val="134"/>
      </rPr>
      <t>（</t>
    </r>
    <r>
      <rPr>
        <b/>
        <sz val="12"/>
        <color rgb="FF000000"/>
        <rFont val="Arial"/>
        <charset val="134"/>
      </rPr>
      <t>CM)</t>
    </r>
  </si>
  <si>
    <r>
      <rPr>
        <b/>
        <sz val="12"/>
        <color rgb="FF000000"/>
        <rFont val="Arial"/>
        <charset val="134"/>
      </rPr>
      <t>26)</t>
    </r>
    <r>
      <rPr>
        <b/>
        <sz val="12"/>
        <color rgb="FF000000"/>
        <rFont val="楷体"/>
        <charset val="134"/>
      </rPr>
      <t>应用范围</t>
    </r>
  </si>
  <si>
    <r>
      <rPr>
        <b/>
        <sz val="12"/>
        <color rgb="FF000000"/>
        <rFont val="Arial"/>
        <charset val="134"/>
      </rPr>
      <t>27)</t>
    </r>
    <r>
      <rPr>
        <b/>
        <sz val="12"/>
        <color rgb="FF000000"/>
        <rFont val="楷体"/>
        <charset val="134"/>
      </rPr>
      <t>是否带电源</t>
    </r>
  </si>
  <si>
    <r>
      <rPr>
        <b/>
        <sz val="12"/>
        <color rgb="FFFF0000"/>
        <rFont val="Arial"/>
        <charset val="134"/>
      </rPr>
      <t>PR</t>
    </r>
    <r>
      <rPr>
        <b/>
        <sz val="12"/>
        <color rgb="FFFF0000"/>
        <rFont val="楷体"/>
        <charset val="134"/>
      </rPr>
      <t>单价</t>
    </r>
  </si>
  <si>
    <t>HOT WATER MACHINE HEATING TUBE</t>
  </si>
  <si>
    <t>热水机加热管</t>
  </si>
  <si>
    <t>SHENZHEN BAO'AN DISTRICT SHAJING ZHIYI INJECTION MOLDING MACHINE PARTS STORE</t>
  </si>
  <si>
    <t>/</t>
  </si>
  <si>
    <t>0|1|热水加热用|无品牌|无型号</t>
  </si>
  <si>
    <t>STEEL</t>
  </si>
  <si>
    <t>220V</t>
  </si>
  <si>
    <t>2026.7.28</t>
  </si>
  <si>
    <t>CHINA</t>
  </si>
  <si>
    <t>NEW</t>
  </si>
  <si>
    <t>M1</t>
  </si>
  <si>
    <t>47*28*24</t>
  </si>
  <si>
    <t>41.5*6</t>
  </si>
  <si>
    <t>USED TO REPLACE COMPONENTS OF TIANZE WATER HEATER</t>
  </si>
  <si>
    <t>NO</t>
  </si>
  <si>
    <t>BELT</t>
  </si>
  <si>
    <t>皮带</t>
  </si>
  <si>
    <t>RECMF-6630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</si>
  <si>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注塑用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黑色条状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橡胶</t>
    </r>
    <r>
      <rPr>
        <sz val="10"/>
        <color rgb="FF000000"/>
        <rFont val="Arial"/>
        <charset val="134"/>
      </rPr>
      <t>|163.28cm|</t>
    </r>
    <r>
      <rPr>
        <sz val="10"/>
        <color rgb="FF000000"/>
        <rFont val="宋体"/>
        <charset val="134"/>
      </rPr>
      <t>圆形状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</si>
  <si>
    <t>RUBBER</t>
  </si>
  <si>
    <t>52*52</t>
  </si>
  <si>
    <t>CRUSHER REPLACEMENT</t>
  </si>
  <si>
    <t>XPA1700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</si>
  <si>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注塑用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黑色条状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橡胶</t>
    </r>
    <r>
      <rPr>
        <sz val="10"/>
        <color rgb="FF000000"/>
        <rFont val="Arial"/>
        <charset val="134"/>
      </rPr>
      <t>|169.56cm|</t>
    </r>
    <r>
      <rPr>
        <sz val="10"/>
        <color rgb="FF000000"/>
        <rFont val="宋体"/>
        <charset val="134"/>
      </rPr>
      <t>圆形状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</si>
  <si>
    <t>54*54</t>
  </si>
  <si>
    <t>XPB 2280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</si>
  <si>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注塑用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黑色条状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橡胶</t>
    </r>
    <r>
      <rPr>
        <sz val="10"/>
        <color rgb="FF000000"/>
        <rFont val="Arial"/>
        <charset val="134"/>
      </rPr>
      <t>|241.78cm|</t>
    </r>
    <r>
      <rPr>
        <sz val="10"/>
        <color rgb="FF000000"/>
        <rFont val="宋体"/>
        <charset val="134"/>
      </rPr>
      <t>圆形状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</si>
  <si>
    <t>77*77</t>
  </si>
  <si>
    <t>FUSE ELEMENT</t>
  </si>
  <si>
    <t>熔断体</t>
  </si>
  <si>
    <t>ZHEJIANG CHINT ELECTRIC CO., LTD</t>
  </si>
  <si>
    <t>CHNT</t>
  </si>
  <si>
    <t>RT28-32(RO15)</t>
  </si>
  <si>
    <t>3|1|电路保护用|500V|CHNT牌|RT28-32(RO15)型</t>
  </si>
  <si>
    <t>CERAMIC</t>
  </si>
  <si>
    <t>AV500V</t>
  </si>
  <si>
    <t>2026.5.11</t>
  </si>
  <si>
    <t>M2</t>
  </si>
  <si>
    <t>49*27*35.5</t>
  </si>
  <si>
    <t>3.8*0.9</t>
  </si>
  <si>
    <t>FOR INJECTION MOLDING MACHINES</t>
  </si>
  <si>
    <t>IC TIMER</t>
  </si>
  <si>
    <t>时间继电器</t>
  </si>
  <si>
    <t>CIKACHIELECTRIC CO.,LTD</t>
  </si>
  <si>
    <t>CKC</t>
  </si>
  <si>
    <t>AH2-Y</t>
  </si>
  <si>
    <r>
      <rPr>
        <sz val="10"/>
        <color rgb="FF000000"/>
        <rFont val="Arial"/>
        <charset val="134"/>
      </rPr>
      <t>3|0|</t>
    </r>
    <r>
      <rPr>
        <sz val="10"/>
        <color rgb="FF000000"/>
        <rFont val="宋体"/>
        <charset val="134"/>
      </rPr>
      <t>根据设定的时间延迟，自动接通或断开电路</t>
    </r>
    <r>
      <rPr>
        <sz val="10"/>
        <color rgb="FF000000"/>
        <rFont val="Arial"/>
        <charset val="134"/>
      </rPr>
      <t>|380V|CKC</t>
    </r>
    <r>
      <rPr>
        <sz val="10"/>
        <color rgb="FF000000"/>
        <rFont val="宋体"/>
        <charset val="134"/>
      </rPr>
      <t>牌</t>
    </r>
    <r>
      <rPr>
        <sz val="10"/>
        <color rgb="FF000000"/>
        <rFont val="Arial"/>
        <charset val="134"/>
      </rPr>
      <t>|AH2-Y</t>
    </r>
    <r>
      <rPr>
        <sz val="10"/>
        <color rgb="FF000000"/>
        <rFont val="宋体"/>
        <charset val="134"/>
      </rPr>
      <t>型</t>
    </r>
  </si>
  <si>
    <t>ELECTRONIC+PLC</t>
  </si>
  <si>
    <t>380V</t>
  </si>
  <si>
    <t>TAIWAN CHINA</t>
  </si>
  <si>
    <t>8.5*9</t>
  </si>
  <si>
    <t>MIXING MACHINE REPLACEMENT</t>
  </si>
  <si>
    <t>SHOCK ABSORBER</t>
  </si>
  <si>
    <t>减震器</t>
  </si>
  <si>
    <t>AD 2030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</si>
  <si>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注塑机用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|AD 2030</t>
    </r>
    <r>
      <rPr>
        <sz val="10"/>
        <color rgb="FF000000"/>
        <rFont val="宋体"/>
        <charset val="134"/>
      </rPr>
      <t>型</t>
    </r>
  </si>
  <si>
    <t>16*3</t>
  </si>
  <si>
    <t>MIXING MACHINE REPLACEMENT INJECTION MOLDING MACHINE MECHANICAL ARM REPLACEMENT</t>
  </si>
  <si>
    <t>THIMBLE</t>
  </si>
  <si>
    <t>司筒顶针</t>
  </si>
  <si>
    <t>2.5*5*200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</si>
  <si>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注塑机用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|2.5*5*200</t>
    </r>
    <r>
      <rPr>
        <sz val="10"/>
        <color rgb="FF000000"/>
        <rFont val="宋体"/>
        <charset val="134"/>
      </rPr>
      <t>型</t>
    </r>
  </si>
  <si>
    <t>2026.5.28</t>
  </si>
  <si>
    <t>30*1</t>
  </si>
  <si>
    <t>MOLD REPAIR</t>
  </si>
  <si>
    <t>顶针</t>
  </si>
  <si>
    <t>1.5 x 3 x 70 x 200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</si>
  <si>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注塑机用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1.5 x 3 x 70 x 200型</t>
    </r>
  </si>
  <si>
    <t>20*0.5</t>
  </si>
  <si>
    <t>2.5*250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</si>
  <si>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注塑机用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2.5*250型</t>
    </r>
  </si>
  <si>
    <t>25*0.5</t>
  </si>
  <si>
    <t>TAPPING</t>
  </si>
  <si>
    <t>攻牙</t>
  </si>
  <si>
    <t>M10</t>
  </si>
  <si>
    <t>T2809422-C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</si>
  <si>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钻探用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不锈钢制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未带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M10型</t>
    </r>
  </si>
  <si>
    <t>7.5*0.5</t>
  </si>
  <si>
    <t>M6</t>
  </si>
  <si>
    <t>T2809312-C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</si>
  <si>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钻探用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不锈钢制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未带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M6型</t>
    </r>
  </si>
  <si>
    <t>6.5*0.5</t>
  </si>
  <si>
    <t>RED COPPER</t>
  </si>
  <si>
    <t>红铜</t>
  </si>
  <si>
    <r>
      <rPr>
        <sz val="10"/>
        <rFont val="宋体"/>
        <charset val="134"/>
      </rPr>
      <t>∅</t>
    </r>
    <r>
      <rPr>
        <sz val="10"/>
        <rFont val="Arial"/>
        <charset val="134"/>
      </rPr>
      <t>60mm</t>
    </r>
  </si>
  <si>
    <t>0|1|型材|红铜|锻轧|铜99.95%/铁&lt;0.005%/镍&lt;0.002%/硫&lt;0.005%</t>
  </si>
  <si>
    <t>20*6</t>
  </si>
  <si>
    <t>SPRING</t>
  </si>
  <si>
    <t>模具弹簧</t>
  </si>
  <si>
    <t>TF14*55</t>
  </si>
  <si>
    <t>0|1|模具用|弹簧钢</t>
  </si>
  <si>
    <t>2026.07.14</t>
  </si>
  <si>
    <t>5.5*1.4</t>
  </si>
  <si>
    <t>PNEUMATIC FIXTURE</t>
  </si>
  <si>
    <t>气动夹具</t>
  </si>
  <si>
    <t>GR04 100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</si>
  <si>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电子产品通用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|GR04 100</t>
    </r>
    <r>
      <rPr>
        <sz val="10"/>
        <color rgb="FF000000"/>
        <rFont val="宋体"/>
        <charset val="134"/>
      </rPr>
      <t>型</t>
    </r>
  </si>
  <si>
    <t>PLASTIC</t>
  </si>
  <si>
    <t>8*3*1.5</t>
  </si>
  <si>
    <t>INSTALL ROBOTIC ARM FIXTURES</t>
  </si>
  <si>
    <t>MOLD HOOK</t>
  </si>
  <si>
    <t>模具吊钩</t>
  </si>
  <si>
    <t>M16</t>
  </si>
  <si>
    <t>0|1|起重模具时用|不锈钢|无品牌|无型号|不锈钢|拧紧吊环时螺杆产生轴向预紧力，螺纹牙之间被紧密压紧，固定模具吊装</t>
  </si>
  <si>
    <t>9*6.5</t>
  </si>
  <si>
    <t>HANGING MOLD</t>
  </si>
  <si>
    <t>M20</t>
  </si>
  <si>
    <t>10*7.2</t>
  </si>
  <si>
    <t>M24</t>
  </si>
  <si>
    <t>12.5*9</t>
  </si>
  <si>
    <t>1.8 x 3 x 70 x 150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</si>
  <si>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注塑机用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1.8 x 3 x 70 x 150型</t>
    </r>
  </si>
  <si>
    <t>15.2*0.5</t>
  </si>
  <si>
    <t>SCREW</t>
  </si>
  <si>
    <t>塞打螺丝</t>
  </si>
  <si>
    <t>M12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</si>
  <si>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模具用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|M12</t>
    </r>
    <r>
      <rPr>
        <sz val="10"/>
        <color rgb="FF000000"/>
        <rFont val="宋体"/>
        <charset val="134"/>
      </rPr>
      <t>型</t>
    </r>
  </si>
  <si>
    <t>6*2.1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</si>
  <si>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模具用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|M10</t>
    </r>
    <r>
      <rPr>
        <sz val="10"/>
        <color rgb="FF000000"/>
        <rFont val="宋体"/>
        <charset val="134"/>
      </rPr>
      <t>型</t>
    </r>
  </si>
  <si>
    <t>17.3*1.5</t>
  </si>
  <si>
    <t>MICRO AIR GRINDER</t>
  </si>
  <si>
    <t>气动刻磨机</t>
  </si>
  <si>
    <t>TAIWAN  SHENGHUI AIR TOOLS CO.,LTD</t>
  </si>
  <si>
    <t>黑鹰</t>
  </si>
  <si>
    <t>0|0|模具用|钢|成套|无品牌|无型号</t>
  </si>
  <si>
    <t>19*3</t>
  </si>
  <si>
    <t>NITROGEN NEEDLE</t>
  </si>
  <si>
    <t>氮气针</t>
  </si>
  <si>
    <t>DONGGUAN XINYUXIN AUTOMOTIVE MOLD STANDARD PARTS CO., LTD</t>
  </si>
  <si>
    <t>078-11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</si>
  <si>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模具气动顶出用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钢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未带工作部件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|078-11</t>
    </r>
    <r>
      <rPr>
        <sz val="10"/>
        <color rgb="FF000000"/>
        <rFont val="宋体"/>
        <charset val="134"/>
      </rPr>
      <t>型</t>
    </r>
  </si>
  <si>
    <t>2026.7.30</t>
  </si>
  <si>
    <t>4*0.5</t>
  </si>
  <si>
    <t>CERAMIC RING</t>
  </si>
  <si>
    <t>陶瓷环</t>
  </si>
  <si>
    <t>RJ-1</t>
  </si>
  <si>
    <t>90*82*12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</si>
  <si>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瓷制丝印机用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|RJ-1</t>
    </r>
    <r>
      <rPr>
        <sz val="10"/>
        <color rgb="FF000000"/>
        <rFont val="宋体"/>
        <charset val="134"/>
      </rPr>
      <t>型</t>
    </r>
  </si>
  <si>
    <t>CERAMICS</t>
  </si>
  <si>
    <t>2026.7.27</t>
  </si>
  <si>
    <t>M3</t>
  </si>
  <si>
    <t>28.5*16.5*19</t>
  </si>
  <si>
    <t>REPLACEMENT OF TRANSFER PRINTING MACHINE</t>
  </si>
  <si>
    <t>120*110*12</t>
  </si>
  <si>
    <t>DRILL BIT</t>
  </si>
  <si>
    <t>锣刀钻头</t>
  </si>
  <si>
    <t>0|1镗孔|钢制|未带工作部件|无品牌|M2型</t>
  </si>
  <si>
    <t>M4</t>
  </si>
  <si>
    <t>60*33*23</t>
  </si>
  <si>
    <t>6*0.3</t>
  </si>
  <si>
    <t>M5</t>
  </si>
  <si>
    <r>
      <rPr>
        <sz val="10"/>
        <color rgb="FF000000"/>
        <rFont val="Arial"/>
        <charset val="134"/>
      </rPr>
      <t>0|1</t>
    </r>
    <r>
      <rPr>
        <sz val="10"/>
        <color rgb="FF000000"/>
        <rFont val="宋体"/>
        <charset val="134"/>
      </rPr>
      <t>镗孔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钢制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未带工作部件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|M5</t>
    </r>
    <r>
      <rPr>
        <sz val="10"/>
        <color rgb="FF000000"/>
        <rFont val="宋体"/>
        <charset val="134"/>
      </rPr>
      <t>型</t>
    </r>
  </si>
  <si>
    <t>5*0.5</t>
  </si>
  <si>
    <r>
      <rPr>
        <sz val="10"/>
        <color rgb="FF000000"/>
        <rFont val="Arial"/>
        <charset val="134"/>
      </rPr>
      <t>0|1</t>
    </r>
    <r>
      <rPr>
        <sz val="10"/>
        <color rgb="FF000000"/>
        <rFont val="宋体"/>
        <charset val="134"/>
      </rPr>
      <t>镗孔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钢制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未带工作部件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|M6</t>
    </r>
    <r>
      <rPr>
        <sz val="10"/>
        <color rgb="FF000000"/>
        <rFont val="宋体"/>
        <charset val="134"/>
      </rPr>
      <t>型</t>
    </r>
  </si>
  <si>
    <t>6*0.5</t>
  </si>
  <si>
    <t>钻头</t>
  </si>
  <si>
    <t>0|1镗孔|钢制|未带工作部件|无品牌|M3型</t>
  </si>
  <si>
    <t>7.3*0.3</t>
  </si>
  <si>
    <t>0|1镗孔|钢制|未带工作部件|无品牌|M5型</t>
  </si>
  <si>
    <t>9.3*0.4</t>
  </si>
  <si>
    <t>Φ 8mm</t>
  </si>
  <si>
    <r>
      <rPr>
        <sz val="10"/>
        <color rgb="FF000000"/>
        <rFont val="Arial"/>
        <charset val="134"/>
      </rPr>
      <t>0|1</t>
    </r>
    <r>
      <rPr>
        <sz val="10"/>
        <color rgb="FF000000"/>
        <rFont val="宋体"/>
        <charset val="134"/>
      </rPr>
      <t>镗孔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钢制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未带工作部件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|Φ 8mm</t>
    </r>
    <r>
      <rPr>
        <sz val="10"/>
        <color rgb="FF000000"/>
        <rFont val="宋体"/>
        <charset val="134"/>
      </rPr>
      <t>型</t>
    </r>
  </si>
  <si>
    <t>10*0.8</t>
  </si>
  <si>
    <t>TF50*125</t>
  </si>
  <si>
    <t>12.5*5</t>
  </si>
  <si>
    <t>6*70*50*130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</si>
  <si>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注塑机用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6*70*50*130型</t>
    </r>
  </si>
  <si>
    <t>22*0.5</t>
  </si>
  <si>
    <t>16*30*13*150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</si>
  <si>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模具用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|16*30*13*150</t>
    </r>
    <r>
      <rPr>
        <sz val="10"/>
        <color rgb="FF000000"/>
        <rFont val="宋体"/>
        <charset val="134"/>
      </rPr>
      <t>型</t>
    </r>
  </si>
  <si>
    <t>5.5*2.2</t>
  </si>
  <si>
    <t>20*30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</si>
  <si>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模具用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|20*30</t>
    </r>
    <r>
      <rPr>
        <sz val="10"/>
        <color rgb="FF000000"/>
        <rFont val="宋体"/>
        <charset val="134"/>
      </rPr>
      <t>型</t>
    </r>
  </si>
  <si>
    <t>10.5*2.7</t>
  </si>
  <si>
    <t>16*25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</si>
  <si>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模具用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|16*25</t>
    </r>
    <r>
      <rPr>
        <sz val="10"/>
        <color rgb="FF000000"/>
        <rFont val="宋体"/>
        <charset val="134"/>
      </rPr>
      <t>型</t>
    </r>
  </si>
  <si>
    <t>QUICK COUPLING</t>
  </si>
  <si>
    <t>快速连接件</t>
  </si>
  <si>
    <t>SP30</t>
  </si>
  <si>
    <t>0|1|连接用|不锈钢|管套|铸造</t>
  </si>
  <si>
    <t>5*2.8</t>
  </si>
  <si>
    <t>COHERENT</t>
  </si>
  <si>
    <t>PP30</t>
  </si>
  <si>
    <t>4.5*1.2</t>
  </si>
  <si>
    <t>NOZZLE</t>
  </si>
  <si>
    <t>注塑机喷嘴</t>
  </si>
  <si>
    <t>39mm ×2.0mm ×150mm</t>
  </si>
  <si>
    <t>0|1|注塑机用|无品牌|无型号</t>
  </si>
  <si>
    <t>15*4</t>
  </si>
  <si>
    <t>USED FOR INJECTION MOLDING MACHINES</t>
  </si>
  <si>
    <t>WIPER BLADE RUBBER</t>
  </si>
  <si>
    <t>橡胶刮片</t>
  </si>
  <si>
    <t>0|1|丝网印刷刮墨用|PU|无品牌|无型号</t>
  </si>
  <si>
    <t>2.4*40</t>
  </si>
  <si>
    <t>SCREEN PRINTING LOSS</t>
  </si>
  <si>
    <t>XY轴皮带</t>
  </si>
  <si>
    <t>ZHONGTAIAUTOMATION EQUIPMENT CO., LTD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</si>
  <si>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注塑用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黑色条状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橡胶</t>
    </r>
    <r>
      <rPr>
        <sz val="10"/>
        <color rgb="FF000000"/>
        <rFont val="Arial"/>
        <charset val="134"/>
      </rPr>
      <t>|1*300cm|</t>
    </r>
    <r>
      <rPr>
        <sz val="10"/>
        <color rgb="FF000000"/>
        <rFont val="宋体"/>
        <charset val="134"/>
      </rPr>
      <t>长条状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</si>
  <si>
    <t>1*300</t>
  </si>
  <si>
    <t>USED FOR FUEL INJECTORS</t>
  </si>
  <si>
    <t>AUTOMATIC SPRAY GUN</t>
  </si>
  <si>
    <t>喷枪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</si>
  <si>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喷油用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油漆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0.5型</t>
    </r>
  </si>
  <si>
    <t>12*7.5</t>
  </si>
  <si>
    <t>USED TO REPLACE DAMAGED SMALL SPRAY PAINTING MACHINES</t>
  </si>
  <si>
    <t>BARCODE SCANNER</t>
  </si>
  <si>
    <t>条码扫描器</t>
  </si>
  <si>
    <t>GUANGZHOU JUJING TRADING CO., LTD</t>
  </si>
  <si>
    <t>X5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</si>
  <si>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X5型</t>
    </r>
  </si>
  <si>
    <t>PLC + ELECTRONICS</t>
  </si>
  <si>
    <t>3V</t>
  </si>
  <si>
    <t>17*6.5</t>
  </si>
  <si>
    <t>PRODUCTION USE</t>
  </si>
  <si>
    <t>SEALING MACHINE</t>
  </si>
  <si>
    <t>封口机</t>
  </si>
  <si>
    <t>YONGKANG CHENQI TRADING CO., LTD</t>
  </si>
  <si>
    <t>SF-B</t>
  </si>
  <si>
    <t>0|1|包装封口用|无品牌|SF-B型</t>
  </si>
  <si>
    <t>IRON</t>
  </si>
  <si>
    <t>AC220V</t>
  </si>
  <si>
    <t>600W</t>
  </si>
  <si>
    <t>PIE-A01</t>
  </si>
  <si>
    <t>71X37X22</t>
  </si>
  <si>
    <t>68X35X20</t>
  </si>
  <si>
    <t>TOOLONG</t>
  </si>
  <si>
    <t>T-AXIS BELT</t>
  </si>
  <si>
    <t>M20 T轴皮带</t>
  </si>
  <si>
    <t>SHENZHEN DAXING GENERAL TECHNOLOGY CO., LTD</t>
  </si>
  <si>
    <t>0|1|传动用|锯齿状|塑胶|11*4*1|圆形|无品牌</t>
  </si>
  <si>
    <t>PLC</t>
  </si>
  <si>
    <t>2026.08.20</t>
  </si>
  <si>
    <t>PIE-B1</t>
  </si>
  <si>
    <t>26*18*15</t>
  </si>
  <si>
    <t>11*4*1</t>
  </si>
  <si>
    <t>SMT</t>
  </si>
  <si>
    <t>DRIVE BELT</t>
  </si>
  <si>
    <t>M4 传动皮带</t>
  </si>
  <si>
    <t>0|1|传动用|条状|塑胶|15*10*2|长条形|无品牌</t>
  </si>
  <si>
    <t>15*10*2</t>
  </si>
  <si>
    <t>M6 传动皮带</t>
  </si>
  <si>
    <t>ULTRASONIC UPPER AND LOWER MOLDS</t>
  </si>
  <si>
    <t>超声波上下模</t>
  </si>
  <si>
    <t>SHENZHEN BRANSUN ULTRASONIC EQUIPMENT CO.,LTD</t>
  </si>
  <si>
    <t>MONOPOLY UR</t>
  </si>
  <si>
    <t>710-19009</t>
  </si>
  <si>
    <r>
      <rPr>
        <sz val="10"/>
        <color rgb="FF000000"/>
        <rFont val="Arial"/>
        <charset val="134"/>
      </rPr>
      <t>3|1|</t>
    </r>
    <r>
      <rPr>
        <sz val="10"/>
        <color rgb="FF000000"/>
        <rFont val="宋体"/>
        <charset val="134"/>
      </rPr>
      <t>熔接塑胶件用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塑胶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必能顺牌</t>
    </r>
    <r>
      <rPr>
        <sz val="10"/>
        <color rgb="FF000000"/>
        <rFont val="Arial"/>
        <charset val="134"/>
      </rPr>
      <t>|MONOPOLY UR</t>
    </r>
    <r>
      <rPr>
        <sz val="10"/>
        <color rgb="FF000000"/>
        <rFont val="宋体"/>
        <charset val="134"/>
      </rPr>
      <t>型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铝合金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通过震动发热让塑胶件熔接</t>
    </r>
  </si>
  <si>
    <t>AL</t>
  </si>
  <si>
    <t>PIE-B2</t>
  </si>
  <si>
    <t>41x32x18</t>
  </si>
  <si>
    <t>10x8x17</t>
  </si>
  <si>
    <t>PRODUCTION ASSEMBLE</t>
  </si>
  <si>
    <t>SOLDER PCB LEAD FIXTURES</t>
  </si>
  <si>
    <t>焊PCB引线治具</t>
  </si>
  <si>
    <t>TECHSEN ELECTRONICS(SHENZHEN)CO.,LTD</t>
  </si>
  <si>
    <t>STAR WARS BOP IT</t>
  </si>
  <si>
    <t>STAR WARS F05A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</si>
  <si>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生产组装用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|STAR WARS BOP IT</t>
    </r>
    <r>
      <rPr>
        <sz val="10"/>
        <color rgb="FF000000"/>
        <rFont val="宋体"/>
        <charset val="134"/>
      </rPr>
      <t>型</t>
    </r>
  </si>
  <si>
    <t>BAKELITE</t>
  </si>
  <si>
    <t>22x12x7</t>
  </si>
  <si>
    <t>WELD THE KEY LEAD FIXTURE</t>
  </si>
  <si>
    <t>焊按键引线治具</t>
  </si>
  <si>
    <t>STAR WARS F06A</t>
  </si>
  <si>
    <t>15K2600W TRANSDUCER</t>
  </si>
  <si>
    <t>换能器</t>
  </si>
  <si>
    <t>15K2600W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</si>
  <si>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超声波焊接设备用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|15K2600W</t>
    </r>
    <r>
      <rPr>
        <sz val="10"/>
        <color rgb="FF000000"/>
        <rFont val="宋体"/>
        <charset val="134"/>
      </rPr>
      <t>型</t>
    </r>
  </si>
  <si>
    <t>2026.08.21</t>
  </si>
  <si>
    <t>PIE-B3</t>
  </si>
  <si>
    <t>42*26*30</t>
  </si>
  <si>
    <t>15.5*7</t>
  </si>
  <si>
    <t>WELD THE BATTERY FIXTURE</t>
  </si>
  <si>
    <t>焊电池治具</t>
  </si>
  <si>
    <t>EV-16 L4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</si>
  <si>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生产组装用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|EV-16 L4</t>
    </r>
    <r>
      <rPr>
        <sz val="10"/>
        <color rgb="FF000000"/>
        <rFont val="宋体"/>
        <charset val="134"/>
      </rPr>
      <t>型</t>
    </r>
  </si>
  <si>
    <t>2026.08.25</t>
  </si>
  <si>
    <t>10*8*12</t>
  </si>
  <si>
    <t>WAVE SOLDERING FIXTURE</t>
  </si>
  <si>
    <t>过炉治具</t>
  </si>
  <si>
    <t>MONOPOLY UR(Main board)</t>
  </si>
  <si>
    <t>MONOURF01A-O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</si>
  <si>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焊接产品用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|MONOPOLY UR(Main board)</t>
    </r>
    <r>
      <rPr>
        <sz val="10"/>
        <color rgb="FF000000"/>
        <rFont val="宋体"/>
        <charset val="134"/>
      </rPr>
      <t>型</t>
    </r>
  </si>
  <si>
    <t>FIBERGLASS BOARD</t>
  </si>
  <si>
    <t>PIE-B4/PIE-B6</t>
  </si>
  <si>
    <t>41X32x18</t>
  </si>
  <si>
    <t>40x30x2</t>
  </si>
  <si>
    <t>WAVE SOLDERING</t>
  </si>
  <si>
    <t>LABEL PAPER</t>
  </si>
  <si>
    <t>标签纸</t>
  </si>
  <si>
    <t>SHENZHEN SHENGTIANXIN PRINTING CO., LTD</t>
  </si>
  <si>
    <t>60*40mm</t>
  </si>
  <si>
    <t>010-145-04</t>
  </si>
  <si>
    <t>0|1|纸制|未印刷|60*40MM</t>
  </si>
  <si>
    <t>PAPER</t>
  </si>
  <si>
    <t>M5-M8</t>
  </si>
  <si>
    <t>45*32*32*4</t>
  </si>
  <si>
    <t>vMatTrace</t>
  </si>
  <si>
    <t>TEMPERATURE CONTROL BOX</t>
  </si>
  <si>
    <t>温控箱</t>
  </si>
  <si>
    <t>UNION HOT RUNNER SYSTEM (SHENZHEN) CO.,LTD</t>
  </si>
  <si>
    <t>TCS-300-03</t>
  </si>
  <si>
    <r>
      <rPr>
        <sz val="10"/>
        <color rgb="FF000000"/>
        <rFont val="Arial"/>
        <charset val="134"/>
      </rPr>
      <t>3|1|</t>
    </r>
    <r>
      <rPr>
        <sz val="10"/>
        <color rgb="FF000000"/>
        <rFont val="宋体"/>
        <charset val="134"/>
      </rPr>
      <t>注塑模具热流道系统温度控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控制输出加热功率，实现自动控温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自动调节温度，超温报警</t>
    </r>
    <r>
      <rPr>
        <sz val="10"/>
        <color rgb="FF000000"/>
        <rFont val="Arial"/>
        <charset val="134"/>
      </rPr>
      <t>|UNION</t>
    </r>
    <r>
      <rPr>
        <sz val="10"/>
        <color rgb="FF000000"/>
        <rFont val="宋体"/>
        <charset val="134"/>
      </rPr>
      <t>牌</t>
    </r>
    <r>
      <rPr>
        <sz val="10"/>
        <color rgb="FF000000"/>
        <rFont val="Arial"/>
        <charset val="134"/>
      </rPr>
      <t>|TCS-300-03</t>
    </r>
    <r>
      <rPr>
        <sz val="10"/>
        <color rgb="FF000000"/>
        <rFont val="宋体"/>
        <charset val="134"/>
      </rPr>
      <t>型</t>
    </r>
  </si>
  <si>
    <t>HARDWARE+ELECTRONIC COMPONENTS</t>
  </si>
  <si>
    <t>3KW</t>
  </si>
  <si>
    <t>M9-M10</t>
  </si>
  <si>
    <t>40*35*31</t>
  </si>
  <si>
    <t>31*25</t>
  </si>
  <si>
    <t>CONTROL HOT RUNNER TEMPERATURE</t>
  </si>
</sst>
</file>

<file path=xl/styles.xml><?xml version="1.0" encoding="utf-8"?>
<styleSheet xmlns="http://schemas.openxmlformats.org/spreadsheetml/2006/main">
  <numFmts count="8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.0000_ "/>
    <numFmt numFmtId="43" formatCode="_ * #,##0.00_ ;_ * \-#,##0.00_ ;_ * &quot;-&quot;??_ ;_ @_ "/>
    <numFmt numFmtId="177" formatCode="0.00_ "/>
    <numFmt numFmtId="178" formatCode="0_ "/>
    <numFmt numFmtId="179" formatCode="yyyy/m/d;@"/>
  </numFmts>
  <fonts count="36">
    <font>
      <sz val="11"/>
      <color theme="1"/>
      <name val="宋体"/>
      <charset val="134"/>
      <scheme val="minor"/>
    </font>
    <font>
      <sz val="12"/>
      <color theme="1"/>
      <name val="Arial"/>
      <charset val="134"/>
    </font>
    <font>
      <sz val="10"/>
      <name val="Arial"/>
      <charset val="134"/>
    </font>
    <font>
      <b/>
      <sz val="12"/>
      <color rgb="FF000000"/>
      <name val="Arial"/>
      <charset val="134"/>
    </font>
    <font>
      <sz val="10"/>
      <name val="新宋体"/>
      <charset val="134"/>
    </font>
    <font>
      <sz val="10"/>
      <name val="宋体"/>
      <charset val="134"/>
    </font>
    <font>
      <sz val="10"/>
      <color rgb="FF000000"/>
      <name val="Arial"/>
      <charset val="134"/>
    </font>
    <font>
      <sz val="10"/>
      <name val="Arial"/>
      <charset val="0"/>
    </font>
    <font>
      <b/>
      <sz val="12"/>
      <color rgb="FFFF0000"/>
      <name val="Arial"/>
      <charset val="134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0"/>
      <name val="Arial"/>
      <charset val="1"/>
    </font>
    <font>
      <b/>
      <sz val="12"/>
      <color rgb="FF000000"/>
      <name val="楷体"/>
      <charset val="134"/>
    </font>
    <font>
      <b/>
      <sz val="12"/>
      <color rgb="FF000000"/>
      <name val="宋体"/>
      <charset val="134"/>
    </font>
    <font>
      <b/>
      <sz val="12"/>
      <color rgb="FFFF0000"/>
      <name val="楷体"/>
      <charset val="134"/>
    </font>
    <font>
      <sz val="10"/>
      <color rgb="FF00000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8" borderId="8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17" borderId="10" applyNumberFormat="0" applyFon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6" fillId="23" borderId="14" applyNumberFormat="0" applyAlignment="0" applyProtection="0">
      <alignment vertical="center"/>
    </xf>
    <xf numFmtId="0" fontId="27" fillId="23" borderId="8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9" fillId="0" borderId="0"/>
    <xf numFmtId="0" fontId="0" fillId="0" borderId="0">
      <alignment vertical="center"/>
    </xf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left" vertical="center"/>
    </xf>
    <xf numFmtId="176" fontId="2" fillId="0" borderId="0" xfId="0" applyNumberFormat="1" applyFont="1" applyFill="1" applyAlignment="1">
      <alignment horizontal="left" vertical="center"/>
    </xf>
    <xf numFmtId="177" fontId="2" fillId="0" borderId="0" xfId="0" applyNumberFormat="1" applyFont="1" applyFill="1" applyAlignment="1">
      <alignment horizontal="left" vertical="center"/>
    </xf>
    <xf numFmtId="177" fontId="2" fillId="0" borderId="0" xfId="0" applyNumberFormat="1" applyFont="1" applyFill="1" applyAlignment="1">
      <alignment horizontal="center" vertical="center"/>
    </xf>
    <xf numFmtId="178" fontId="3" fillId="0" borderId="1" xfId="0" applyNumberFormat="1" applyFont="1" applyFill="1" applyBorder="1" applyAlignment="1">
      <alignment horizontal="left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178" fontId="2" fillId="0" borderId="1" xfId="0" applyNumberFormat="1" applyFont="1" applyFill="1" applyBorder="1" applyAlignment="1">
      <alignment horizontal="left" vertical="center" wrapText="1"/>
    </xf>
    <xf numFmtId="178" fontId="5" fillId="0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0" fontId="4" fillId="0" borderId="2" xfId="0" applyNumberFormat="1" applyFont="1" applyFill="1" applyBorder="1" applyAlignment="1">
      <alignment horizontal="left" vertical="center" wrapText="1"/>
    </xf>
    <xf numFmtId="178" fontId="2" fillId="0" borderId="2" xfId="0" applyNumberFormat="1" applyFont="1" applyFill="1" applyBorder="1" applyAlignment="1">
      <alignment horizontal="left" vertical="center" wrapText="1"/>
    </xf>
    <xf numFmtId="178" fontId="5" fillId="0" borderId="2" xfId="0" applyNumberFormat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178" fontId="6" fillId="0" borderId="3" xfId="0" applyNumberFormat="1" applyFont="1" applyBorder="1" applyAlignment="1">
      <alignment horizontal="left" vertical="center" wrapText="1"/>
    </xf>
    <xf numFmtId="178" fontId="6" fillId="0" borderId="1" xfId="0" applyNumberFormat="1" applyFont="1" applyBorder="1" applyAlignment="1">
      <alignment horizontal="left" vertical="center" wrapText="1"/>
    </xf>
    <xf numFmtId="179" fontId="2" fillId="0" borderId="1" xfId="0" applyNumberFormat="1" applyFont="1" applyFill="1" applyBorder="1" applyAlignment="1">
      <alignment horizontal="left" vertical="center" wrapText="1"/>
    </xf>
    <xf numFmtId="178" fontId="6" fillId="0" borderId="3" xfId="0" applyNumberFormat="1" applyFont="1" applyFill="1" applyBorder="1" applyAlignment="1">
      <alignment horizontal="left" vertical="center" wrapText="1"/>
    </xf>
    <xf numFmtId="178" fontId="6" fillId="2" borderId="1" xfId="0" applyNumberFormat="1" applyFont="1" applyFill="1" applyBorder="1" applyAlignment="1">
      <alignment horizontal="left" vertical="center" wrapText="1"/>
    </xf>
    <xf numFmtId="178" fontId="6" fillId="0" borderId="1" xfId="0" applyNumberFormat="1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178" fontId="6" fillId="0" borderId="4" xfId="0" applyNumberFormat="1" applyFont="1" applyBorder="1" applyAlignment="1">
      <alignment horizontal="left" vertical="center" wrapText="1"/>
    </xf>
    <xf numFmtId="178" fontId="6" fillId="0" borderId="2" xfId="0" applyNumberFormat="1" applyFont="1" applyBorder="1" applyAlignment="1">
      <alignment horizontal="left" vertical="center" wrapText="1"/>
    </xf>
    <xf numFmtId="179" fontId="2" fillId="0" borderId="2" xfId="0" applyNumberFormat="1" applyFont="1" applyFill="1" applyBorder="1" applyAlignment="1">
      <alignment horizontal="left" vertical="center" wrapText="1"/>
    </xf>
    <xf numFmtId="178" fontId="2" fillId="0" borderId="1" xfId="0" applyNumberFormat="1" applyFont="1" applyFill="1" applyBorder="1" applyAlignment="1">
      <alignment horizontal="left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vertical="center" wrapText="1"/>
    </xf>
    <xf numFmtId="176" fontId="7" fillId="0" borderId="1" xfId="0" applyNumberFormat="1" applyFont="1" applyFill="1" applyBorder="1" applyAlignment="1">
      <alignment horizontal="left" vertical="center"/>
    </xf>
    <xf numFmtId="176" fontId="2" fillId="0" borderId="1" xfId="0" applyNumberFormat="1" applyFont="1" applyFill="1" applyBorder="1" applyAlignment="1">
      <alignment horizontal="left" vertical="center" wrapText="1"/>
    </xf>
    <xf numFmtId="177" fontId="2" fillId="0" borderId="1" xfId="0" applyNumberFormat="1" applyFont="1" applyFill="1" applyBorder="1" applyAlignment="1">
      <alignment horizontal="left" vertical="center" wrapText="1"/>
    </xf>
    <xf numFmtId="178" fontId="2" fillId="0" borderId="2" xfId="0" applyNumberFormat="1" applyFont="1" applyFill="1" applyBorder="1" applyAlignment="1">
      <alignment horizontal="center" vertical="center" wrapText="1"/>
    </xf>
    <xf numFmtId="178" fontId="2" fillId="0" borderId="5" xfId="0" applyNumberFormat="1" applyFont="1" applyFill="1" applyBorder="1" applyAlignment="1">
      <alignment horizontal="center" vertical="center" wrapText="1"/>
    </xf>
    <xf numFmtId="178" fontId="2" fillId="0" borderId="6" xfId="0" applyNumberFormat="1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178" fontId="2" fillId="0" borderId="2" xfId="0" applyNumberFormat="1" applyFont="1" applyFill="1" applyBorder="1" applyAlignment="1">
      <alignment vertical="center" wrapText="1"/>
    </xf>
    <xf numFmtId="176" fontId="7" fillId="0" borderId="2" xfId="0" applyNumberFormat="1" applyFont="1" applyFill="1" applyBorder="1" applyAlignment="1">
      <alignment horizontal="left" vertical="center"/>
    </xf>
    <xf numFmtId="177" fontId="2" fillId="0" borderId="2" xfId="0" applyNumberFormat="1" applyFont="1" applyFill="1" applyBorder="1" applyAlignment="1">
      <alignment horizontal="left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178" fontId="8" fillId="0" borderId="1" xfId="0" applyNumberFormat="1" applyFont="1" applyFill="1" applyBorder="1" applyAlignment="1">
      <alignment horizontal="center" vertical="center" wrapText="1"/>
    </xf>
    <xf numFmtId="177" fontId="2" fillId="0" borderId="2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176" fontId="2" fillId="0" borderId="2" xfId="0" applyNumberFormat="1" applyFont="1" applyFill="1" applyBorder="1" applyAlignment="1">
      <alignment horizontal="left" vertical="center" wrapText="1"/>
    </xf>
    <xf numFmtId="177" fontId="2" fillId="0" borderId="5" xfId="0" applyNumberFormat="1" applyFont="1" applyFill="1" applyBorder="1" applyAlignment="1">
      <alignment horizontal="center" vertical="center" wrapText="1"/>
    </xf>
    <xf numFmtId="177" fontId="2" fillId="0" borderId="6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/>
    </xf>
    <xf numFmtId="177" fontId="2" fillId="0" borderId="1" xfId="0" applyNumberFormat="1" applyFont="1" applyFill="1" applyBorder="1" applyAlignment="1">
      <alignment horizontal="center"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_Phieu thu" xfId="49"/>
    <cellStyle name="常规 2" xfId="50"/>
    <cellStyle name="常规 3" xfId="51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57"/>
  <sheetViews>
    <sheetView showGridLines="0" tabSelected="1" zoomScale="115" zoomScaleNormal="115" workbookViewId="0">
      <pane xSplit="2" topLeftCell="C1" activePane="topRight" state="frozen"/>
      <selection/>
      <selection pane="topRight" activeCell="Q57" sqref="Q57"/>
    </sheetView>
  </sheetViews>
  <sheetFormatPr defaultColWidth="9" defaultRowHeight="36" customHeight="1"/>
  <cols>
    <col min="1" max="1" width="26.875" style="3" customWidth="1"/>
    <col min="2" max="2" width="17.75" style="2" customWidth="1"/>
    <col min="3" max="3" width="41.75" style="2" customWidth="1"/>
    <col min="4" max="4" width="9.01666666666667" style="2" hidden="1" customWidth="1"/>
    <col min="5" max="5" width="20.375" style="2" customWidth="1"/>
    <col min="6" max="6" width="14.625" style="2" customWidth="1"/>
    <col min="7" max="7" width="20.125" style="4" customWidth="1"/>
    <col min="8" max="8" width="13.525" style="4" customWidth="1"/>
    <col min="9" max="9" width="12.625" style="4" customWidth="1"/>
    <col min="10" max="10" width="49.25" style="4" customWidth="1"/>
    <col min="11" max="11" width="13.75" style="4" hidden="1" customWidth="1"/>
    <col min="12" max="12" width="22.9333333333333" style="4" customWidth="1"/>
    <col min="13" max="14" width="14.1333333333333" style="2" customWidth="1"/>
    <col min="15" max="15" width="12" style="2" customWidth="1"/>
    <col min="16" max="16" width="15.8833333333333" style="2" customWidth="1"/>
    <col min="17" max="17" width="15.7583333333333" style="2" customWidth="1"/>
    <col min="18" max="18" width="14.25" style="2" customWidth="1"/>
    <col min="19" max="19" width="28.75" style="2" customWidth="1"/>
    <col min="20" max="20" width="14.2666666666667" style="2" customWidth="1"/>
    <col min="21" max="22" width="16.425" style="5" customWidth="1"/>
    <col min="23" max="23" width="15" style="6" customWidth="1"/>
    <col min="24" max="24" width="17" style="3" customWidth="1"/>
    <col min="25" max="25" width="10.625" style="3" customWidth="1"/>
    <col min="26" max="26" width="11.625" style="7" customWidth="1"/>
    <col min="27" max="27" width="11.625" style="6" customWidth="1"/>
    <col min="28" max="28" width="19.625" style="3" customWidth="1"/>
    <col min="29" max="29" width="18.125" style="2" customWidth="1"/>
    <col min="30" max="30" width="22.9166666666667" style="2" customWidth="1"/>
    <col min="31" max="31" width="17" style="2" customWidth="1"/>
    <col min="32" max="32" width="11.4666666666667" style="2" customWidth="1"/>
    <col min="33" max="33" width="14.875" style="2"/>
    <col min="34" max="16384" width="9" style="2"/>
  </cols>
  <sheetData>
    <row r="1" s="1" customFormat="1" ht="46" customHeight="1" spans="1:32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/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33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48" t="s">
        <v>30</v>
      </c>
    </row>
    <row r="2" s="2" customFormat="1" ht="42" customHeight="1" spans="1:32">
      <c r="A2" s="10" t="s">
        <v>31</v>
      </c>
      <c r="B2" s="11" t="s">
        <v>32</v>
      </c>
      <c r="C2" s="12" t="s">
        <v>33</v>
      </c>
      <c r="D2" s="13"/>
      <c r="E2" s="14" t="s">
        <v>34</v>
      </c>
      <c r="F2" s="12" t="s">
        <v>34</v>
      </c>
      <c r="G2" s="12" t="s">
        <v>34</v>
      </c>
      <c r="H2" s="12">
        <v>8419901000</v>
      </c>
      <c r="I2" s="10">
        <v>84199029</v>
      </c>
      <c r="J2" s="22" t="s">
        <v>35</v>
      </c>
      <c r="K2" s="23"/>
      <c r="L2" s="12" t="s">
        <v>36</v>
      </c>
      <c r="M2" s="12" t="s">
        <v>37</v>
      </c>
      <c r="N2" s="12" t="s">
        <v>34</v>
      </c>
      <c r="O2" s="24" t="s">
        <v>38</v>
      </c>
      <c r="P2" s="12" t="s">
        <v>39</v>
      </c>
      <c r="Q2" s="12" t="s">
        <v>40</v>
      </c>
      <c r="R2" s="34"/>
      <c r="S2" s="12"/>
      <c r="T2" s="12">
        <v>5</v>
      </c>
      <c r="U2" s="35">
        <v>165</v>
      </c>
      <c r="V2" s="36">
        <f t="shared" ref="V2:V28" si="0">ROUND(U2*1.08/6.7809,4)</f>
        <v>26.2797</v>
      </c>
      <c r="W2" s="37">
        <f t="shared" ref="W2:W28" si="1">ROUND(V2*T2,2)</f>
        <v>131.4</v>
      </c>
      <c r="X2" s="38" t="s">
        <v>41</v>
      </c>
      <c r="Y2" s="38">
        <v>1</v>
      </c>
      <c r="Z2" s="49">
        <v>11.69</v>
      </c>
      <c r="AA2" s="10">
        <v>7.55</v>
      </c>
      <c r="AB2" s="38" t="s">
        <v>42</v>
      </c>
      <c r="AC2" s="10" t="s">
        <v>43</v>
      </c>
      <c r="AD2" s="14" t="s">
        <v>44</v>
      </c>
      <c r="AE2" s="50" t="s">
        <v>45</v>
      </c>
      <c r="AF2" s="51">
        <f t="shared" ref="AF2:AF14" si="2">ROUND(U2*1.08,4)</f>
        <v>178.2</v>
      </c>
    </row>
    <row r="3" s="2" customFormat="1" ht="42" customHeight="1" spans="1:32">
      <c r="A3" s="10" t="s">
        <v>46</v>
      </c>
      <c r="B3" s="11" t="s">
        <v>47</v>
      </c>
      <c r="C3" s="12" t="s">
        <v>33</v>
      </c>
      <c r="D3" s="13"/>
      <c r="E3" s="14" t="s">
        <v>48</v>
      </c>
      <c r="F3" s="12" t="s">
        <v>34</v>
      </c>
      <c r="G3" s="12" t="s">
        <v>34</v>
      </c>
      <c r="H3" s="10">
        <v>4010390000</v>
      </c>
      <c r="I3" s="10">
        <v>39269053</v>
      </c>
      <c r="J3" s="25" t="s">
        <v>49</v>
      </c>
      <c r="K3" s="26"/>
      <c r="L3" s="12" t="s">
        <v>50</v>
      </c>
      <c r="M3" s="12" t="s">
        <v>34</v>
      </c>
      <c r="N3" s="12" t="s">
        <v>34</v>
      </c>
      <c r="O3" s="24" t="s">
        <v>38</v>
      </c>
      <c r="P3" s="12" t="s">
        <v>39</v>
      </c>
      <c r="Q3" s="12" t="s">
        <v>40</v>
      </c>
      <c r="R3" s="34"/>
      <c r="S3" s="12"/>
      <c r="T3" s="12">
        <v>4</v>
      </c>
      <c r="U3" s="35">
        <v>35</v>
      </c>
      <c r="V3" s="36">
        <f t="shared" si="0"/>
        <v>5.5745</v>
      </c>
      <c r="W3" s="37">
        <f t="shared" si="1"/>
        <v>22.3</v>
      </c>
      <c r="X3" s="39"/>
      <c r="Y3" s="39"/>
      <c r="Z3" s="52"/>
      <c r="AA3" s="10">
        <v>0.73</v>
      </c>
      <c r="AB3" s="39"/>
      <c r="AC3" s="10" t="s">
        <v>51</v>
      </c>
      <c r="AD3" s="14" t="s">
        <v>52</v>
      </c>
      <c r="AE3" s="50" t="s">
        <v>45</v>
      </c>
      <c r="AF3" s="51">
        <f t="shared" si="2"/>
        <v>37.8</v>
      </c>
    </row>
    <row r="4" s="2" customFormat="1" ht="42" customHeight="1" spans="1:32">
      <c r="A4" s="10" t="s">
        <v>46</v>
      </c>
      <c r="B4" s="11" t="s">
        <v>47</v>
      </c>
      <c r="C4" s="12" t="s">
        <v>33</v>
      </c>
      <c r="D4" s="13"/>
      <c r="E4" s="14" t="s">
        <v>53</v>
      </c>
      <c r="F4" s="12" t="s">
        <v>34</v>
      </c>
      <c r="G4" s="12" t="s">
        <v>34</v>
      </c>
      <c r="H4" s="10">
        <v>4010390000</v>
      </c>
      <c r="I4" s="10">
        <v>39269053</v>
      </c>
      <c r="J4" s="25" t="s">
        <v>54</v>
      </c>
      <c r="K4" s="23"/>
      <c r="L4" s="12" t="s">
        <v>50</v>
      </c>
      <c r="M4" s="12" t="s">
        <v>34</v>
      </c>
      <c r="N4" s="12" t="s">
        <v>34</v>
      </c>
      <c r="O4" s="24" t="s">
        <v>38</v>
      </c>
      <c r="P4" s="12" t="s">
        <v>39</v>
      </c>
      <c r="Q4" s="12" t="s">
        <v>40</v>
      </c>
      <c r="R4" s="34"/>
      <c r="S4" s="12"/>
      <c r="T4" s="12">
        <v>4</v>
      </c>
      <c r="U4" s="35">
        <v>38</v>
      </c>
      <c r="V4" s="36">
        <f t="shared" si="0"/>
        <v>6.0523</v>
      </c>
      <c r="W4" s="37">
        <f t="shared" si="1"/>
        <v>24.21</v>
      </c>
      <c r="X4" s="39"/>
      <c r="Y4" s="39"/>
      <c r="Z4" s="52"/>
      <c r="AA4" s="10">
        <v>0.82</v>
      </c>
      <c r="AB4" s="39"/>
      <c r="AC4" s="10" t="s">
        <v>55</v>
      </c>
      <c r="AD4" s="14" t="s">
        <v>52</v>
      </c>
      <c r="AE4" s="50" t="s">
        <v>45</v>
      </c>
      <c r="AF4" s="51">
        <f t="shared" si="2"/>
        <v>41.04</v>
      </c>
    </row>
    <row r="5" s="2" customFormat="1" ht="42" customHeight="1" spans="1:32">
      <c r="A5" s="10" t="s">
        <v>46</v>
      </c>
      <c r="B5" s="11" t="s">
        <v>47</v>
      </c>
      <c r="C5" s="12" t="s">
        <v>33</v>
      </c>
      <c r="D5" s="13"/>
      <c r="E5" s="14" t="s">
        <v>56</v>
      </c>
      <c r="F5" s="12" t="s">
        <v>34</v>
      </c>
      <c r="G5" s="12" t="s">
        <v>34</v>
      </c>
      <c r="H5" s="10">
        <v>4010390000</v>
      </c>
      <c r="I5" s="10">
        <v>39269053</v>
      </c>
      <c r="J5" s="25" t="s">
        <v>57</v>
      </c>
      <c r="K5" s="23"/>
      <c r="L5" s="12" t="s">
        <v>50</v>
      </c>
      <c r="M5" s="12" t="s">
        <v>34</v>
      </c>
      <c r="N5" s="12" t="s">
        <v>34</v>
      </c>
      <c r="O5" s="24" t="s">
        <v>38</v>
      </c>
      <c r="P5" s="12" t="s">
        <v>39</v>
      </c>
      <c r="Q5" s="12" t="s">
        <v>40</v>
      </c>
      <c r="R5" s="34"/>
      <c r="S5" s="12"/>
      <c r="T5" s="12">
        <v>4</v>
      </c>
      <c r="U5" s="35">
        <v>68</v>
      </c>
      <c r="V5" s="36">
        <f t="shared" si="0"/>
        <v>10.8304</v>
      </c>
      <c r="W5" s="37">
        <f t="shared" si="1"/>
        <v>43.32</v>
      </c>
      <c r="X5" s="40"/>
      <c r="Y5" s="40"/>
      <c r="Z5" s="53"/>
      <c r="AA5" s="10">
        <v>1.87</v>
      </c>
      <c r="AB5" s="40"/>
      <c r="AC5" s="10" t="s">
        <v>58</v>
      </c>
      <c r="AD5" s="14" t="s">
        <v>52</v>
      </c>
      <c r="AE5" s="50" t="s">
        <v>45</v>
      </c>
      <c r="AF5" s="51">
        <f t="shared" si="2"/>
        <v>73.44</v>
      </c>
    </row>
    <row r="6" s="2" customFormat="1" ht="42" customHeight="1" spans="1:32">
      <c r="A6" s="10" t="s">
        <v>59</v>
      </c>
      <c r="B6" s="13" t="s">
        <v>60</v>
      </c>
      <c r="C6" s="12" t="s">
        <v>61</v>
      </c>
      <c r="D6" s="12" t="s">
        <v>62</v>
      </c>
      <c r="E6" s="12" t="s">
        <v>63</v>
      </c>
      <c r="F6" s="12" t="s">
        <v>34</v>
      </c>
      <c r="G6" s="12" t="s">
        <v>34</v>
      </c>
      <c r="H6" s="10">
        <v>8536100000</v>
      </c>
      <c r="I6" s="10">
        <v>85361012</v>
      </c>
      <c r="J6" s="22" t="s">
        <v>64</v>
      </c>
      <c r="K6" s="23"/>
      <c r="L6" s="12" t="s">
        <v>65</v>
      </c>
      <c r="M6" s="12" t="s">
        <v>66</v>
      </c>
      <c r="N6" s="12" t="s">
        <v>34</v>
      </c>
      <c r="O6" s="24" t="s">
        <v>67</v>
      </c>
      <c r="P6" s="12" t="s">
        <v>39</v>
      </c>
      <c r="Q6" s="12" t="s">
        <v>40</v>
      </c>
      <c r="R6" s="34"/>
      <c r="S6" s="12"/>
      <c r="T6" s="12">
        <v>50</v>
      </c>
      <c r="U6" s="35">
        <v>3.5</v>
      </c>
      <c r="V6" s="36">
        <f t="shared" si="0"/>
        <v>0.5574</v>
      </c>
      <c r="W6" s="37">
        <f t="shared" si="1"/>
        <v>27.87</v>
      </c>
      <c r="X6" s="38" t="s">
        <v>68</v>
      </c>
      <c r="Y6" s="38">
        <v>1</v>
      </c>
      <c r="Z6" s="49">
        <v>20.38</v>
      </c>
      <c r="AA6" s="10">
        <v>0.45</v>
      </c>
      <c r="AB6" s="38" t="s">
        <v>69</v>
      </c>
      <c r="AC6" s="10" t="s">
        <v>70</v>
      </c>
      <c r="AD6" s="14" t="s">
        <v>71</v>
      </c>
      <c r="AE6" s="50" t="s">
        <v>45</v>
      </c>
      <c r="AF6" s="51">
        <f t="shared" si="2"/>
        <v>3.78</v>
      </c>
    </row>
    <row r="7" s="2" customFormat="1" ht="42" customHeight="1" spans="1:32">
      <c r="A7" s="10" t="s">
        <v>72</v>
      </c>
      <c r="B7" s="11" t="s">
        <v>73</v>
      </c>
      <c r="C7" s="12" t="s">
        <v>74</v>
      </c>
      <c r="D7" s="13" t="s">
        <v>75</v>
      </c>
      <c r="E7" s="14" t="s">
        <v>76</v>
      </c>
      <c r="F7" s="12" t="s">
        <v>34</v>
      </c>
      <c r="G7" s="12" t="s">
        <v>34</v>
      </c>
      <c r="H7" s="12">
        <v>8536490090</v>
      </c>
      <c r="I7" s="10">
        <v>85364990</v>
      </c>
      <c r="J7" s="22" t="s">
        <v>77</v>
      </c>
      <c r="K7" s="23"/>
      <c r="L7" s="12" t="s">
        <v>78</v>
      </c>
      <c r="M7" s="12" t="s">
        <v>79</v>
      </c>
      <c r="N7" s="12" t="s">
        <v>34</v>
      </c>
      <c r="O7" s="24" t="s">
        <v>38</v>
      </c>
      <c r="P7" s="12" t="s">
        <v>80</v>
      </c>
      <c r="Q7" s="12" t="s">
        <v>40</v>
      </c>
      <c r="R7" s="34"/>
      <c r="S7" s="12"/>
      <c r="T7" s="12">
        <v>2</v>
      </c>
      <c r="U7" s="41">
        <v>43</v>
      </c>
      <c r="V7" s="36">
        <f t="shared" si="0"/>
        <v>6.8486</v>
      </c>
      <c r="W7" s="37">
        <f t="shared" si="1"/>
        <v>13.7</v>
      </c>
      <c r="X7" s="39"/>
      <c r="Y7" s="39"/>
      <c r="Z7" s="52"/>
      <c r="AA7" s="10">
        <v>0.46</v>
      </c>
      <c r="AB7" s="39"/>
      <c r="AC7" s="10" t="s">
        <v>81</v>
      </c>
      <c r="AD7" s="14" t="s">
        <v>82</v>
      </c>
      <c r="AE7" s="50" t="s">
        <v>45</v>
      </c>
      <c r="AF7" s="51">
        <f t="shared" si="2"/>
        <v>46.44</v>
      </c>
    </row>
    <row r="8" s="2" customFormat="1" ht="42" customHeight="1" spans="1:32">
      <c r="A8" s="10" t="s">
        <v>83</v>
      </c>
      <c r="B8" s="11" t="s">
        <v>84</v>
      </c>
      <c r="C8" s="12" t="s">
        <v>33</v>
      </c>
      <c r="D8" s="13"/>
      <c r="E8" s="14" t="s">
        <v>85</v>
      </c>
      <c r="F8" s="12" t="s">
        <v>34</v>
      </c>
      <c r="G8" s="12" t="s">
        <v>34</v>
      </c>
      <c r="H8" s="10">
        <v>8477900000</v>
      </c>
      <c r="I8" s="10">
        <v>84779040</v>
      </c>
      <c r="J8" s="22" t="s">
        <v>86</v>
      </c>
      <c r="K8" s="27"/>
      <c r="L8" s="12" t="s">
        <v>36</v>
      </c>
      <c r="M8" s="12" t="s">
        <v>34</v>
      </c>
      <c r="N8" s="12" t="s">
        <v>34</v>
      </c>
      <c r="O8" s="24" t="s">
        <v>38</v>
      </c>
      <c r="P8" s="12" t="s">
        <v>39</v>
      </c>
      <c r="Q8" s="12" t="s">
        <v>40</v>
      </c>
      <c r="R8" s="34"/>
      <c r="S8" s="12"/>
      <c r="T8" s="12">
        <v>3</v>
      </c>
      <c r="U8" s="35">
        <v>185</v>
      </c>
      <c r="V8" s="36">
        <f t="shared" si="0"/>
        <v>29.4651</v>
      </c>
      <c r="W8" s="37">
        <f t="shared" si="1"/>
        <v>88.4</v>
      </c>
      <c r="X8" s="39"/>
      <c r="Y8" s="39"/>
      <c r="Z8" s="52"/>
      <c r="AA8" s="10">
        <v>0.78</v>
      </c>
      <c r="AB8" s="39"/>
      <c r="AC8" s="10" t="s">
        <v>87</v>
      </c>
      <c r="AD8" s="14" t="s">
        <v>88</v>
      </c>
      <c r="AE8" s="50" t="s">
        <v>45</v>
      </c>
      <c r="AF8" s="51">
        <f t="shared" si="2"/>
        <v>199.8</v>
      </c>
    </row>
    <row r="9" s="2" customFormat="1" ht="42" customHeight="1" spans="1:32">
      <c r="A9" s="10" t="s">
        <v>89</v>
      </c>
      <c r="B9" s="11" t="s">
        <v>90</v>
      </c>
      <c r="C9" s="12" t="s">
        <v>33</v>
      </c>
      <c r="D9" s="13"/>
      <c r="E9" s="14" t="s">
        <v>91</v>
      </c>
      <c r="F9" s="12" t="s">
        <v>34</v>
      </c>
      <c r="G9" s="12">
        <v>226050972</v>
      </c>
      <c r="H9" s="10">
        <v>8477900000</v>
      </c>
      <c r="I9" s="10">
        <v>84779032</v>
      </c>
      <c r="J9" s="22" t="s">
        <v>92</v>
      </c>
      <c r="K9" s="23"/>
      <c r="L9" s="12" t="s">
        <v>36</v>
      </c>
      <c r="M9" s="12" t="s">
        <v>34</v>
      </c>
      <c r="N9" s="12" t="s">
        <v>34</v>
      </c>
      <c r="O9" s="24" t="s">
        <v>93</v>
      </c>
      <c r="P9" s="12" t="s">
        <v>39</v>
      </c>
      <c r="Q9" s="12" t="s">
        <v>40</v>
      </c>
      <c r="R9" s="34"/>
      <c r="S9" s="12"/>
      <c r="T9" s="12">
        <v>30</v>
      </c>
      <c r="U9" s="35">
        <v>36</v>
      </c>
      <c r="V9" s="36">
        <f t="shared" si="0"/>
        <v>5.7338</v>
      </c>
      <c r="W9" s="37">
        <f t="shared" si="1"/>
        <v>172.01</v>
      </c>
      <c r="X9" s="39"/>
      <c r="Y9" s="39"/>
      <c r="Z9" s="52"/>
      <c r="AA9" s="10">
        <v>1.06</v>
      </c>
      <c r="AB9" s="39"/>
      <c r="AC9" s="10" t="s">
        <v>94</v>
      </c>
      <c r="AD9" s="14" t="s">
        <v>95</v>
      </c>
      <c r="AE9" s="50" t="s">
        <v>45</v>
      </c>
      <c r="AF9" s="51">
        <f t="shared" si="2"/>
        <v>38.88</v>
      </c>
    </row>
    <row r="10" s="2" customFormat="1" ht="42" customHeight="1" spans="1:32">
      <c r="A10" s="10" t="s">
        <v>89</v>
      </c>
      <c r="B10" s="11" t="s">
        <v>96</v>
      </c>
      <c r="C10" s="12" t="s">
        <v>33</v>
      </c>
      <c r="D10" s="13"/>
      <c r="E10" s="14" t="s">
        <v>97</v>
      </c>
      <c r="F10" s="12" t="s">
        <v>34</v>
      </c>
      <c r="G10" s="12" t="s">
        <v>34</v>
      </c>
      <c r="H10" s="10">
        <v>8477900000</v>
      </c>
      <c r="I10" s="10">
        <v>84779032</v>
      </c>
      <c r="J10" s="22" t="s">
        <v>98</v>
      </c>
      <c r="K10" s="23"/>
      <c r="L10" s="12" t="s">
        <v>36</v>
      </c>
      <c r="M10" s="12" t="s">
        <v>34</v>
      </c>
      <c r="N10" s="12" t="s">
        <v>34</v>
      </c>
      <c r="O10" s="24" t="s">
        <v>38</v>
      </c>
      <c r="P10" s="12" t="s">
        <v>39</v>
      </c>
      <c r="Q10" s="12" t="s">
        <v>40</v>
      </c>
      <c r="R10" s="34"/>
      <c r="S10" s="12"/>
      <c r="T10" s="42">
        <v>20</v>
      </c>
      <c r="U10" s="41">
        <v>3.5</v>
      </c>
      <c r="V10" s="36">
        <f t="shared" si="0"/>
        <v>0.5574</v>
      </c>
      <c r="W10" s="37">
        <f t="shared" si="1"/>
        <v>11.15</v>
      </c>
      <c r="X10" s="39"/>
      <c r="Y10" s="39"/>
      <c r="Z10" s="52"/>
      <c r="AA10" s="10">
        <v>0.13</v>
      </c>
      <c r="AB10" s="39"/>
      <c r="AC10" s="10" t="s">
        <v>99</v>
      </c>
      <c r="AD10" s="14" t="s">
        <v>95</v>
      </c>
      <c r="AE10" s="50" t="s">
        <v>45</v>
      </c>
      <c r="AF10" s="51">
        <f t="shared" si="2"/>
        <v>3.78</v>
      </c>
    </row>
    <row r="11" s="2" customFormat="1" ht="42" customHeight="1" spans="1:32">
      <c r="A11" s="10" t="s">
        <v>89</v>
      </c>
      <c r="B11" s="11" t="s">
        <v>96</v>
      </c>
      <c r="C11" s="12" t="s">
        <v>33</v>
      </c>
      <c r="D11" s="13"/>
      <c r="E11" s="14" t="s">
        <v>100</v>
      </c>
      <c r="F11" s="12" t="s">
        <v>34</v>
      </c>
      <c r="G11" s="12" t="s">
        <v>34</v>
      </c>
      <c r="H11" s="10">
        <v>8477900000</v>
      </c>
      <c r="I11" s="10">
        <v>84779032</v>
      </c>
      <c r="J11" s="22" t="s">
        <v>101</v>
      </c>
      <c r="K11" s="23"/>
      <c r="L11" s="12" t="s">
        <v>36</v>
      </c>
      <c r="M11" s="12" t="s">
        <v>34</v>
      </c>
      <c r="N11" s="12" t="s">
        <v>34</v>
      </c>
      <c r="O11" s="24" t="s">
        <v>38</v>
      </c>
      <c r="P11" s="12" t="s">
        <v>39</v>
      </c>
      <c r="Q11" s="12" t="s">
        <v>40</v>
      </c>
      <c r="R11" s="34"/>
      <c r="S11" s="12"/>
      <c r="T11" s="42">
        <v>30</v>
      </c>
      <c r="U11" s="41">
        <v>3.3</v>
      </c>
      <c r="V11" s="36">
        <f t="shared" si="0"/>
        <v>0.5256</v>
      </c>
      <c r="W11" s="37">
        <f t="shared" si="1"/>
        <v>15.77</v>
      </c>
      <c r="X11" s="39"/>
      <c r="Y11" s="39"/>
      <c r="Z11" s="52"/>
      <c r="AA11" s="10">
        <v>0.31</v>
      </c>
      <c r="AB11" s="39"/>
      <c r="AC11" s="10" t="s">
        <v>102</v>
      </c>
      <c r="AD11" s="14" t="s">
        <v>95</v>
      </c>
      <c r="AE11" s="50" t="s">
        <v>45</v>
      </c>
      <c r="AF11" s="51">
        <f t="shared" si="2"/>
        <v>3.564</v>
      </c>
    </row>
    <row r="12" s="2" customFormat="1" ht="42" customHeight="1" spans="1:32">
      <c r="A12" s="10" t="s">
        <v>103</v>
      </c>
      <c r="B12" s="11" t="s">
        <v>104</v>
      </c>
      <c r="C12" s="12" t="s">
        <v>33</v>
      </c>
      <c r="D12" s="13"/>
      <c r="E12" s="14" t="s">
        <v>105</v>
      </c>
      <c r="F12" s="12" t="s">
        <v>34</v>
      </c>
      <c r="G12" s="12" t="s">
        <v>106</v>
      </c>
      <c r="H12" s="10">
        <v>8207400000</v>
      </c>
      <c r="I12" s="10">
        <v>82074000</v>
      </c>
      <c r="J12" s="22" t="s">
        <v>107</v>
      </c>
      <c r="K12" s="23"/>
      <c r="L12" s="12" t="s">
        <v>36</v>
      </c>
      <c r="M12" s="12" t="s">
        <v>34</v>
      </c>
      <c r="N12" s="12" t="s">
        <v>34</v>
      </c>
      <c r="O12" s="24" t="s">
        <v>38</v>
      </c>
      <c r="P12" s="12" t="s">
        <v>39</v>
      </c>
      <c r="Q12" s="12" t="s">
        <v>40</v>
      </c>
      <c r="R12" s="34"/>
      <c r="S12" s="12"/>
      <c r="T12" s="12">
        <v>3</v>
      </c>
      <c r="U12" s="35">
        <v>75</v>
      </c>
      <c r="V12" s="36">
        <f t="shared" si="0"/>
        <v>11.9453</v>
      </c>
      <c r="W12" s="37">
        <f t="shared" si="1"/>
        <v>35.84</v>
      </c>
      <c r="X12" s="39"/>
      <c r="Y12" s="39"/>
      <c r="Z12" s="52"/>
      <c r="AA12" s="10">
        <v>0.08</v>
      </c>
      <c r="AB12" s="39"/>
      <c r="AC12" s="10" t="s">
        <v>108</v>
      </c>
      <c r="AD12" s="14" t="s">
        <v>95</v>
      </c>
      <c r="AE12" s="50" t="s">
        <v>45</v>
      </c>
      <c r="AF12" s="51">
        <f t="shared" si="2"/>
        <v>81</v>
      </c>
    </row>
    <row r="13" s="2" customFormat="1" ht="42" customHeight="1" spans="1:32">
      <c r="A13" s="10" t="s">
        <v>103</v>
      </c>
      <c r="B13" s="11" t="s">
        <v>104</v>
      </c>
      <c r="C13" s="12" t="s">
        <v>33</v>
      </c>
      <c r="D13" s="13"/>
      <c r="E13" s="14" t="s">
        <v>109</v>
      </c>
      <c r="F13" s="12" t="s">
        <v>34</v>
      </c>
      <c r="G13" s="12" t="s">
        <v>110</v>
      </c>
      <c r="H13" s="10">
        <v>8207400000</v>
      </c>
      <c r="I13" s="10">
        <v>82074000</v>
      </c>
      <c r="J13" s="22" t="s">
        <v>111</v>
      </c>
      <c r="K13" s="23"/>
      <c r="L13" s="12" t="s">
        <v>36</v>
      </c>
      <c r="M13" s="12" t="s">
        <v>34</v>
      </c>
      <c r="N13" s="12" t="s">
        <v>34</v>
      </c>
      <c r="O13" s="24" t="s">
        <v>38</v>
      </c>
      <c r="P13" s="12" t="s">
        <v>39</v>
      </c>
      <c r="Q13" s="12" t="s">
        <v>40</v>
      </c>
      <c r="R13" s="34"/>
      <c r="S13" s="12"/>
      <c r="T13" s="12">
        <v>3</v>
      </c>
      <c r="U13" s="35">
        <v>45</v>
      </c>
      <c r="V13" s="36">
        <f t="shared" si="0"/>
        <v>7.1672</v>
      </c>
      <c r="W13" s="37">
        <f t="shared" si="1"/>
        <v>21.5</v>
      </c>
      <c r="X13" s="39"/>
      <c r="Y13" s="39"/>
      <c r="Z13" s="52"/>
      <c r="AA13" s="10">
        <v>0.04</v>
      </c>
      <c r="AB13" s="39"/>
      <c r="AC13" s="10" t="s">
        <v>112</v>
      </c>
      <c r="AD13" s="14" t="s">
        <v>95</v>
      </c>
      <c r="AE13" s="50" t="s">
        <v>45</v>
      </c>
      <c r="AF13" s="51">
        <f t="shared" si="2"/>
        <v>48.6</v>
      </c>
    </row>
    <row r="14" s="2" customFormat="1" ht="42" customHeight="1" spans="1:32">
      <c r="A14" s="10" t="s">
        <v>113</v>
      </c>
      <c r="B14" s="11" t="s">
        <v>114</v>
      </c>
      <c r="C14" s="12" t="s">
        <v>33</v>
      </c>
      <c r="D14" s="13"/>
      <c r="E14" s="15" t="s">
        <v>115</v>
      </c>
      <c r="F14" s="12" t="s">
        <v>34</v>
      </c>
      <c r="G14" s="12" t="s">
        <v>34</v>
      </c>
      <c r="H14" s="10">
        <v>7403190000</v>
      </c>
      <c r="I14" s="28">
        <v>74031900</v>
      </c>
      <c r="J14" s="22" t="s">
        <v>116</v>
      </c>
      <c r="K14" s="23"/>
      <c r="L14" s="12" t="s">
        <v>36</v>
      </c>
      <c r="M14" s="12" t="s">
        <v>34</v>
      </c>
      <c r="N14" s="12" t="s">
        <v>34</v>
      </c>
      <c r="O14" s="24" t="s">
        <v>38</v>
      </c>
      <c r="P14" s="12" t="s">
        <v>39</v>
      </c>
      <c r="Q14" s="12" t="s">
        <v>40</v>
      </c>
      <c r="R14" s="34"/>
      <c r="S14" s="12"/>
      <c r="T14" s="12">
        <v>1</v>
      </c>
      <c r="U14" s="35">
        <v>586</v>
      </c>
      <c r="V14" s="36">
        <f t="shared" si="0"/>
        <v>93.3327</v>
      </c>
      <c r="W14" s="37">
        <f t="shared" si="1"/>
        <v>93.33</v>
      </c>
      <c r="X14" s="39"/>
      <c r="Y14" s="39"/>
      <c r="Z14" s="52"/>
      <c r="AA14" s="10">
        <v>4.99</v>
      </c>
      <c r="AB14" s="39"/>
      <c r="AC14" s="10" t="s">
        <v>117</v>
      </c>
      <c r="AD14" s="14" t="s">
        <v>95</v>
      </c>
      <c r="AE14" s="50" t="s">
        <v>45</v>
      </c>
      <c r="AF14" s="51">
        <f t="shared" si="2"/>
        <v>632.88</v>
      </c>
    </row>
    <row r="15" s="2" customFormat="1" ht="42" customHeight="1" spans="1:32">
      <c r="A15" s="10" t="s">
        <v>118</v>
      </c>
      <c r="B15" s="11" t="s">
        <v>119</v>
      </c>
      <c r="C15" s="12" t="s">
        <v>33</v>
      </c>
      <c r="D15" s="13"/>
      <c r="E15" s="14" t="s">
        <v>120</v>
      </c>
      <c r="F15" s="12" t="s">
        <v>34</v>
      </c>
      <c r="G15" s="12" t="s">
        <v>34</v>
      </c>
      <c r="H15" s="10">
        <v>7320209000</v>
      </c>
      <c r="I15" s="10">
        <v>73202090</v>
      </c>
      <c r="J15" s="22" t="s">
        <v>121</v>
      </c>
      <c r="K15" s="23"/>
      <c r="L15" s="12" t="s">
        <v>36</v>
      </c>
      <c r="M15" s="12" t="s">
        <v>34</v>
      </c>
      <c r="N15" s="12" t="s">
        <v>34</v>
      </c>
      <c r="O15" s="24" t="s">
        <v>122</v>
      </c>
      <c r="P15" s="12" t="s">
        <v>39</v>
      </c>
      <c r="Q15" s="12" t="s">
        <v>40</v>
      </c>
      <c r="R15" s="34"/>
      <c r="S15" s="12"/>
      <c r="T15" s="12">
        <v>12</v>
      </c>
      <c r="U15" s="35">
        <v>1.8</v>
      </c>
      <c r="V15" s="36">
        <f t="shared" si="0"/>
        <v>0.2867</v>
      </c>
      <c r="W15" s="37">
        <f t="shared" si="1"/>
        <v>3.44</v>
      </c>
      <c r="X15" s="39"/>
      <c r="Y15" s="39"/>
      <c r="Z15" s="52"/>
      <c r="AA15" s="10">
        <v>0.18</v>
      </c>
      <c r="AB15" s="39"/>
      <c r="AC15" s="10" t="s">
        <v>123</v>
      </c>
      <c r="AD15" s="14" t="s">
        <v>95</v>
      </c>
      <c r="AE15" s="50" t="s">
        <v>45</v>
      </c>
      <c r="AF15" s="51">
        <f t="shared" ref="AF15:AF27" si="3">ROUND(U15*1.08,4)</f>
        <v>1.944</v>
      </c>
    </row>
    <row r="16" s="2" customFormat="1" ht="42" customHeight="1" spans="1:32">
      <c r="A16" s="10" t="s">
        <v>124</v>
      </c>
      <c r="B16" s="11" t="s">
        <v>125</v>
      </c>
      <c r="C16" s="12" t="s">
        <v>33</v>
      </c>
      <c r="D16" s="13"/>
      <c r="E16" s="14" t="s">
        <v>126</v>
      </c>
      <c r="F16" s="12" t="s">
        <v>34</v>
      </c>
      <c r="G16" s="12" t="s">
        <v>34</v>
      </c>
      <c r="H16" s="10">
        <v>8466200090</v>
      </c>
      <c r="I16" s="10">
        <v>84662090</v>
      </c>
      <c r="J16" s="22" t="s">
        <v>127</v>
      </c>
      <c r="K16" s="23"/>
      <c r="L16" s="12" t="s">
        <v>128</v>
      </c>
      <c r="M16" s="12" t="s">
        <v>34</v>
      </c>
      <c r="N16" s="12" t="s">
        <v>34</v>
      </c>
      <c r="O16" s="24" t="s">
        <v>38</v>
      </c>
      <c r="P16" s="12" t="s">
        <v>39</v>
      </c>
      <c r="Q16" s="12" t="s">
        <v>40</v>
      </c>
      <c r="R16" s="34"/>
      <c r="S16" s="12"/>
      <c r="T16" s="12">
        <v>5</v>
      </c>
      <c r="U16" s="35">
        <v>115</v>
      </c>
      <c r="V16" s="36">
        <f t="shared" si="0"/>
        <v>18.3162</v>
      </c>
      <c r="W16" s="37">
        <f t="shared" si="1"/>
        <v>91.58</v>
      </c>
      <c r="X16" s="39"/>
      <c r="Y16" s="39"/>
      <c r="Z16" s="52"/>
      <c r="AA16" s="10">
        <v>0.32</v>
      </c>
      <c r="AB16" s="39"/>
      <c r="AC16" s="10" t="s">
        <v>129</v>
      </c>
      <c r="AD16" s="14" t="s">
        <v>130</v>
      </c>
      <c r="AE16" s="50" t="s">
        <v>45</v>
      </c>
      <c r="AF16" s="51">
        <f t="shared" si="3"/>
        <v>124.2</v>
      </c>
    </row>
    <row r="17" s="2" customFormat="1" ht="42" customHeight="1" spans="1:32">
      <c r="A17" s="10" t="s">
        <v>131</v>
      </c>
      <c r="B17" s="11" t="s">
        <v>132</v>
      </c>
      <c r="C17" s="12" t="s">
        <v>33</v>
      </c>
      <c r="D17" s="13"/>
      <c r="E17" s="14" t="s">
        <v>133</v>
      </c>
      <c r="F17" s="12" t="s">
        <v>34</v>
      </c>
      <c r="G17" s="12" t="s">
        <v>34</v>
      </c>
      <c r="H17" s="10">
        <v>8480490090</v>
      </c>
      <c r="I17" s="10">
        <v>84804900</v>
      </c>
      <c r="J17" s="22" t="s">
        <v>134</v>
      </c>
      <c r="K17" s="23"/>
      <c r="L17" s="12" t="s">
        <v>36</v>
      </c>
      <c r="M17" s="12" t="s">
        <v>34</v>
      </c>
      <c r="N17" s="12" t="s">
        <v>34</v>
      </c>
      <c r="O17" s="24" t="s">
        <v>122</v>
      </c>
      <c r="P17" s="12" t="s">
        <v>39</v>
      </c>
      <c r="Q17" s="12" t="s">
        <v>40</v>
      </c>
      <c r="R17" s="34"/>
      <c r="S17" s="12"/>
      <c r="T17" s="12">
        <v>5</v>
      </c>
      <c r="U17" s="35">
        <v>10</v>
      </c>
      <c r="V17" s="36">
        <f t="shared" si="0"/>
        <v>1.5927</v>
      </c>
      <c r="W17" s="37">
        <f t="shared" si="1"/>
        <v>7.96</v>
      </c>
      <c r="X17" s="39"/>
      <c r="Y17" s="39"/>
      <c r="Z17" s="52"/>
      <c r="AA17" s="10">
        <v>1.48</v>
      </c>
      <c r="AB17" s="39"/>
      <c r="AC17" s="10" t="s">
        <v>135</v>
      </c>
      <c r="AD17" s="14" t="s">
        <v>136</v>
      </c>
      <c r="AE17" s="50" t="s">
        <v>45</v>
      </c>
      <c r="AF17" s="51">
        <f t="shared" si="3"/>
        <v>10.8</v>
      </c>
    </row>
    <row r="18" s="2" customFormat="1" ht="42" customHeight="1" spans="1:32">
      <c r="A18" s="10" t="s">
        <v>131</v>
      </c>
      <c r="B18" s="11" t="s">
        <v>132</v>
      </c>
      <c r="C18" s="12" t="s">
        <v>33</v>
      </c>
      <c r="D18" s="13"/>
      <c r="E18" s="14" t="s">
        <v>137</v>
      </c>
      <c r="F18" s="12" t="s">
        <v>34</v>
      </c>
      <c r="G18" s="12" t="s">
        <v>34</v>
      </c>
      <c r="H18" s="10">
        <v>8480490090</v>
      </c>
      <c r="I18" s="10">
        <v>84804900</v>
      </c>
      <c r="J18" s="22" t="s">
        <v>134</v>
      </c>
      <c r="K18" s="23"/>
      <c r="L18" s="12" t="s">
        <v>36</v>
      </c>
      <c r="M18" s="12" t="s">
        <v>34</v>
      </c>
      <c r="N18" s="12" t="s">
        <v>34</v>
      </c>
      <c r="O18" s="24" t="s">
        <v>122</v>
      </c>
      <c r="P18" s="12" t="s">
        <v>39</v>
      </c>
      <c r="Q18" s="12" t="s">
        <v>40</v>
      </c>
      <c r="R18" s="34"/>
      <c r="S18" s="12"/>
      <c r="T18" s="12">
        <v>5</v>
      </c>
      <c r="U18" s="35">
        <v>15</v>
      </c>
      <c r="V18" s="36">
        <f t="shared" si="0"/>
        <v>2.3891</v>
      </c>
      <c r="W18" s="37">
        <f t="shared" si="1"/>
        <v>11.95</v>
      </c>
      <c r="X18" s="39"/>
      <c r="Y18" s="39"/>
      <c r="Z18" s="52"/>
      <c r="AA18" s="10">
        <v>2.26</v>
      </c>
      <c r="AB18" s="39"/>
      <c r="AC18" s="10" t="s">
        <v>138</v>
      </c>
      <c r="AD18" s="14" t="s">
        <v>136</v>
      </c>
      <c r="AE18" s="50" t="s">
        <v>45</v>
      </c>
      <c r="AF18" s="51">
        <f t="shared" si="3"/>
        <v>16.2</v>
      </c>
    </row>
    <row r="19" s="2" customFormat="1" ht="42" customHeight="1" spans="1:32">
      <c r="A19" s="10" t="s">
        <v>131</v>
      </c>
      <c r="B19" s="11" t="s">
        <v>132</v>
      </c>
      <c r="C19" s="12" t="s">
        <v>33</v>
      </c>
      <c r="D19" s="13"/>
      <c r="E19" s="14" t="s">
        <v>139</v>
      </c>
      <c r="F19" s="12" t="s">
        <v>34</v>
      </c>
      <c r="G19" s="12" t="s">
        <v>34</v>
      </c>
      <c r="H19" s="10">
        <v>8480490090</v>
      </c>
      <c r="I19" s="10">
        <v>84804900</v>
      </c>
      <c r="J19" s="22" t="s">
        <v>134</v>
      </c>
      <c r="K19" s="23"/>
      <c r="L19" s="12" t="s">
        <v>36</v>
      </c>
      <c r="M19" s="12" t="s">
        <v>34</v>
      </c>
      <c r="N19" s="12" t="s">
        <v>34</v>
      </c>
      <c r="O19" s="24" t="s">
        <v>122</v>
      </c>
      <c r="P19" s="12" t="s">
        <v>39</v>
      </c>
      <c r="Q19" s="12" t="s">
        <v>40</v>
      </c>
      <c r="R19" s="34"/>
      <c r="S19" s="12"/>
      <c r="T19" s="12">
        <v>5</v>
      </c>
      <c r="U19" s="35">
        <v>26</v>
      </c>
      <c r="V19" s="36">
        <f t="shared" si="0"/>
        <v>4.141</v>
      </c>
      <c r="W19" s="37">
        <f t="shared" si="1"/>
        <v>20.71</v>
      </c>
      <c r="X19" s="39"/>
      <c r="Y19" s="39"/>
      <c r="Z19" s="52"/>
      <c r="AA19" s="10">
        <v>4.3</v>
      </c>
      <c r="AB19" s="39"/>
      <c r="AC19" s="10" t="s">
        <v>140</v>
      </c>
      <c r="AD19" s="14" t="s">
        <v>136</v>
      </c>
      <c r="AE19" s="50" t="s">
        <v>45</v>
      </c>
      <c r="AF19" s="51">
        <f t="shared" si="3"/>
        <v>28.08</v>
      </c>
    </row>
    <row r="20" s="2" customFormat="1" ht="42" customHeight="1" spans="1:32">
      <c r="A20" s="10" t="s">
        <v>89</v>
      </c>
      <c r="B20" s="11" t="s">
        <v>96</v>
      </c>
      <c r="C20" s="12" t="s">
        <v>33</v>
      </c>
      <c r="D20" s="13"/>
      <c r="E20" s="14" t="s">
        <v>141</v>
      </c>
      <c r="F20" s="12" t="s">
        <v>34</v>
      </c>
      <c r="G20" s="12" t="s">
        <v>34</v>
      </c>
      <c r="H20" s="10">
        <v>8477900000</v>
      </c>
      <c r="I20" s="10">
        <v>84779032</v>
      </c>
      <c r="J20" s="22" t="s">
        <v>142</v>
      </c>
      <c r="K20" s="23"/>
      <c r="L20" s="12" t="s">
        <v>36</v>
      </c>
      <c r="M20" s="12" t="s">
        <v>34</v>
      </c>
      <c r="N20" s="12" t="s">
        <v>34</v>
      </c>
      <c r="O20" s="24" t="s">
        <v>38</v>
      </c>
      <c r="P20" s="12" t="s">
        <v>39</v>
      </c>
      <c r="Q20" s="12" t="s">
        <v>40</v>
      </c>
      <c r="R20" s="34"/>
      <c r="S20" s="12"/>
      <c r="T20" s="12">
        <v>30</v>
      </c>
      <c r="U20" s="35">
        <v>6</v>
      </c>
      <c r="V20" s="36">
        <f t="shared" si="0"/>
        <v>0.9556</v>
      </c>
      <c r="W20" s="37">
        <f t="shared" si="1"/>
        <v>28.67</v>
      </c>
      <c r="X20" s="39"/>
      <c r="Y20" s="39"/>
      <c r="Z20" s="52"/>
      <c r="AA20" s="10">
        <v>0.18</v>
      </c>
      <c r="AB20" s="39"/>
      <c r="AC20" s="10" t="s">
        <v>143</v>
      </c>
      <c r="AD20" s="14" t="s">
        <v>95</v>
      </c>
      <c r="AE20" s="50" t="s">
        <v>45</v>
      </c>
      <c r="AF20" s="51">
        <f t="shared" si="3"/>
        <v>6.48</v>
      </c>
    </row>
    <row r="21" s="2" customFormat="1" ht="42" customHeight="1" spans="1:32">
      <c r="A21" s="10" t="s">
        <v>144</v>
      </c>
      <c r="B21" s="11" t="s">
        <v>145</v>
      </c>
      <c r="C21" s="12" t="s">
        <v>33</v>
      </c>
      <c r="D21" s="13"/>
      <c r="E21" s="14" t="s">
        <v>146</v>
      </c>
      <c r="F21" s="12" t="s">
        <v>34</v>
      </c>
      <c r="G21" s="12" t="s">
        <v>34</v>
      </c>
      <c r="H21" s="10">
        <v>8477900000</v>
      </c>
      <c r="I21" s="10">
        <v>84779010</v>
      </c>
      <c r="J21" s="22" t="s">
        <v>147</v>
      </c>
      <c r="K21" s="27"/>
      <c r="L21" s="12" t="s">
        <v>36</v>
      </c>
      <c r="M21" s="12" t="s">
        <v>34</v>
      </c>
      <c r="N21" s="12" t="s">
        <v>34</v>
      </c>
      <c r="O21" s="24" t="s">
        <v>38</v>
      </c>
      <c r="P21" s="12" t="s">
        <v>39</v>
      </c>
      <c r="Q21" s="12" t="s">
        <v>40</v>
      </c>
      <c r="R21" s="34"/>
      <c r="S21" s="12"/>
      <c r="T21" s="12">
        <v>6</v>
      </c>
      <c r="U21" s="35">
        <v>6.5</v>
      </c>
      <c r="V21" s="36">
        <f t="shared" si="0"/>
        <v>1.0353</v>
      </c>
      <c r="W21" s="37">
        <f t="shared" si="1"/>
        <v>6.21</v>
      </c>
      <c r="X21" s="39"/>
      <c r="Y21" s="39"/>
      <c r="Z21" s="52"/>
      <c r="AA21" s="10">
        <v>0.57</v>
      </c>
      <c r="AB21" s="39"/>
      <c r="AC21" s="10" t="s">
        <v>148</v>
      </c>
      <c r="AD21" s="14" t="s">
        <v>95</v>
      </c>
      <c r="AE21" s="50" t="s">
        <v>45</v>
      </c>
      <c r="AF21" s="51">
        <f t="shared" si="3"/>
        <v>7.02</v>
      </c>
    </row>
    <row r="22" s="2" customFormat="1" ht="42" customHeight="1" spans="1:32">
      <c r="A22" s="10" t="s">
        <v>144</v>
      </c>
      <c r="B22" s="11" t="s">
        <v>145</v>
      </c>
      <c r="C22" s="12" t="s">
        <v>33</v>
      </c>
      <c r="D22" s="13"/>
      <c r="E22" s="14" t="s">
        <v>105</v>
      </c>
      <c r="F22" s="12" t="s">
        <v>34</v>
      </c>
      <c r="G22" s="12" t="s">
        <v>34</v>
      </c>
      <c r="H22" s="10">
        <v>8477900000</v>
      </c>
      <c r="I22" s="10">
        <v>84779010</v>
      </c>
      <c r="J22" s="22" t="s">
        <v>149</v>
      </c>
      <c r="K22" s="27"/>
      <c r="L22" s="12" t="s">
        <v>36</v>
      </c>
      <c r="M22" s="12" t="s">
        <v>34</v>
      </c>
      <c r="N22" s="12" t="s">
        <v>34</v>
      </c>
      <c r="O22" s="24" t="s">
        <v>38</v>
      </c>
      <c r="P22" s="12" t="s">
        <v>39</v>
      </c>
      <c r="Q22" s="12" t="s">
        <v>40</v>
      </c>
      <c r="R22" s="34"/>
      <c r="S22" s="12"/>
      <c r="T22" s="12">
        <v>6</v>
      </c>
      <c r="U22" s="35">
        <v>9.5</v>
      </c>
      <c r="V22" s="36">
        <f t="shared" si="0"/>
        <v>1.5131</v>
      </c>
      <c r="W22" s="37">
        <f t="shared" si="1"/>
        <v>9.08</v>
      </c>
      <c r="X22" s="39"/>
      <c r="Y22" s="39"/>
      <c r="Z22" s="52"/>
      <c r="AA22" s="10">
        <v>0.91</v>
      </c>
      <c r="AB22" s="39"/>
      <c r="AC22" s="10" t="s">
        <v>150</v>
      </c>
      <c r="AD22" s="14" t="s">
        <v>95</v>
      </c>
      <c r="AE22" s="50" t="s">
        <v>45</v>
      </c>
      <c r="AF22" s="51">
        <f t="shared" si="3"/>
        <v>10.26</v>
      </c>
    </row>
    <row r="23" s="2" customFormat="1" ht="42" customHeight="1" spans="1:32">
      <c r="A23" s="10" t="s">
        <v>151</v>
      </c>
      <c r="B23" s="11" t="s">
        <v>152</v>
      </c>
      <c r="C23" s="12" t="s">
        <v>153</v>
      </c>
      <c r="D23" s="13" t="s">
        <v>154</v>
      </c>
      <c r="E23" s="14" t="s">
        <v>34</v>
      </c>
      <c r="F23" s="12" t="s">
        <v>34</v>
      </c>
      <c r="G23" s="12" t="s">
        <v>34</v>
      </c>
      <c r="H23" s="10">
        <v>8205590000</v>
      </c>
      <c r="I23" s="10">
        <v>84861050</v>
      </c>
      <c r="J23" s="22" t="s">
        <v>155</v>
      </c>
      <c r="K23" s="23"/>
      <c r="L23" s="12" t="s">
        <v>36</v>
      </c>
      <c r="M23" s="12" t="s">
        <v>34</v>
      </c>
      <c r="N23" s="12" t="s">
        <v>34</v>
      </c>
      <c r="O23" s="24" t="s">
        <v>38</v>
      </c>
      <c r="P23" s="12" t="s">
        <v>80</v>
      </c>
      <c r="Q23" s="12" t="s">
        <v>40</v>
      </c>
      <c r="R23" s="34"/>
      <c r="S23" s="12"/>
      <c r="T23" s="12">
        <v>1</v>
      </c>
      <c r="U23" s="35">
        <v>165</v>
      </c>
      <c r="V23" s="36">
        <f t="shared" si="0"/>
        <v>26.2797</v>
      </c>
      <c r="W23" s="37">
        <f t="shared" si="1"/>
        <v>26.28</v>
      </c>
      <c r="X23" s="39"/>
      <c r="Y23" s="39"/>
      <c r="Z23" s="52"/>
      <c r="AA23" s="10">
        <v>0.45</v>
      </c>
      <c r="AB23" s="39"/>
      <c r="AC23" s="10" t="s">
        <v>156</v>
      </c>
      <c r="AD23" s="14" t="s">
        <v>95</v>
      </c>
      <c r="AE23" s="50" t="s">
        <v>45</v>
      </c>
      <c r="AF23" s="51">
        <f t="shared" si="3"/>
        <v>178.2</v>
      </c>
    </row>
    <row r="24" s="2" customFormat="1" ht="42" customHeight="1" spans="1:32">
      <c r="A24" s="10" t="s">
        <v>157</v>
      </c>
      <c r="B24" s="11" t="s">
        <v>158</v>
      </c>
      <c r="C24" s="12" t="s">
        <v>159</v>
      </c>
      <c r="D24" s="13"/>
      <c r="E24" s="14" t="s">
        <v>160</v>
      </c>
      <c r="F24" s="12" t="s">
        <v>34</v>
      </c>
      <c r="G24" s="12" t="s">
        <v>34</v>
      </c>
      <c r="H24" s="10">
        <v>8207300090</v>
      </c>
      <c r="I24" s="10">
        <v>82073000</v>
      </c>
      <c r="J24" s="22" t="s">
        <v>161</v>
      </c>
      <c r="K24" s="23"/>
      <c r="L24" s="12" t="s">
        <v>36</v>
      </c>
      <c r="M24" s="12" t="s">
        <v>34</v>
      </c>
      <c r="N24" s="12" t="s">
        <v>34</v>
      </c>
      <c r="O24" s="24" t="s">
        <v>162</v>
      </c>
      <c r="P24" s="12" t="s">
        <v>39</v>
      </c>
      <c r="Q24" s="12" t="s">
        <v>40</v>
      </c>
      <c r="R24" s="34"/>
      <c r="S24" s="12"/>
      <c r="T24" s="12">
        <v>10</v>
      </c>
      <c r="U24" s="35">
        <v>121</v>
      </c>
      <c r="V24" s="36">
        <f>ROUND(U24/1.13*1.08/6.7809,4)</f>
        <v>17.0547</v>
      </c>
      <c r="W24" s="37">
        <f t="shared" si="1"/>
        <v>170.55</v>
      </c>
      <c r="X24" s="40"/>
      <c r="Y24" s="40"/>
      <c r="Z24" s="53"/>
      <c r="AA24" s="10">
        <v>0.07</v>
      </c>
      <c r="AB24" s="40"/>
      <c r="AC24" s="10" t="s">
        <v>163</v>
      </c>
      <c r="AD24" s="14" t="s">
        <v>95</v>
      </c>
      <c r="AE24" s="50" t="s">
        <v>45</v>
      </c>
      <c r="AF24" s="51">
        <f t="shared" si="3"/>
        <v>130.68</v>
      </c>
    </row>
    <row r="25" s="2" customFormat="1" ht="42" customHeight="1" spans="1:32">
      <c r="A25" s="10" t="s">
        <v>164</v>
      </c>
      <c r="B25" s="11" t="s">
        <v>165</v>
      </c>
      <c r="C25" s="12" t="s">
        <v>33</v>
      </c>
      <c r="D25" s="13"/>
      <c r="E25" s="14" t="s">
        <v>166</v>
      </c>
      <c r="F25" s="12" t="s">
        <v>167</v>
      </c>
      <c r="G25" s="12" t="s">
        <v>34</v>
      </c>
      <c r="H25" s="10">
        <v>6914900000</v>
      </c>
      <c r="I25" s="10">
        <v>69149000</v>
      </c>
      <c r="J25" s="22" t="s">
        <v>168</v>
      </c>
      <c r="K25" s="23"/>
      <c r="L25" s="12" t="s">
        <v>169</v>
      </c>
      <c r="M25" s="12" t="s">
        <v>34</v>
      </c>
      <c r="N25" s="12" t="s">
        <v>34</v>
      </c>
      <c r="O25" s="24" t="s">
        <v>170</v>
      </c>
      <c r="P25" s="12" t="s">
        <v>39</v>
      </c>
      <c r="Q25" s="12" t="s">
        <v>40</v>
      </c>
      <c r="R25" s="34"/>
      <c r="S25" s="12"/>
      <c r="T25" s="12">
        <v>5</v>
      </c>
      <c r="U25" s="35">
        <v>145</v>
      </c>
      <c r="V25" s="36">
        <f t="shared" si="0"/>
        <v>23.0943</v>
      </c>
      <c r="W25" s="37">
        <f t="shared" si="1"/>
        <v>115.47</v>
      </c>
      <c r="X25" s="38" t="s">
        <v>171</v>
      </c>
      <c r="Y25" s="38">
        <v>1</v>
      </c>
      <c r="Z25" s="49">
        <v>1.05</v>
      </c>
      <c r="AA25" s="10">
        <v>0.51</v>
      </c>
      <c r="AB25" s="38" t="s">
        <v>172</v>
      </c>
      <c r="AC25" s="10" t="s">
        <v>167</v>
      </c>
      <c r="AD25" s="14" t="s">
        <v>173</v>
      </c>
      <c r="AE25" s="50" t="s">
        <v>45</v>
      </c>
      <c r="AF25" s="51">
        <f t="shared" si="3"/>
        <v>156.6</v>
      </c>
    </row>
    <row r="26" s="2" customFormat="1" ht="42" customHeight="1" spans="1:32">
      <c r="A26" s="16" t="s">
        <v>164</v>
      </c>
      <c r="B26" s="17" t="s">
        <v>165</v>
      </c>
      <c r="C26" s="18" t="s">
        <v>33</v>
      </c>
      <c r="D26" s="19"/>
      <c r="E26" s="20" t="s">
        <v>166</v>
      </c>
      <c r="F26" s="18" t="s">
        <v>174</v>
      </c>
      <c r="G26" s="18" t="s">
        <v>34</v>
      </c>
      <c r="H26" s="16">
        <v>6914900000</v>
      </c>
      <c r="I26" s="16">
        <v>69149000</v>
      </c>
      <c r="J26" s="29" t="s">
        <v>168</v>
      </c>
      <c r="K26" s="30"/>
      <c r="L26" s="18" t="s">
        <v>169</v>
      </c>
      <c r="M26" s="18" t="s">
        <v>34</v>
      </c>
      <c r="N26" s="18" t="s">
        <v>34</v>
      </c>
      <c r="O26" s="31" t="s">
        <v>170</v>
      </c>
      <c r="P26" s="18" t="s">
        <v>39</v>
      </c>
      <c r="Q26" s="18" t="s">
        <v>40</v>
      </c>
      <c r="R26" s="43"/>
      <c r="S26" s="18"/>
      <c r="T26" s="18">
        <v>2</v>
      </c>
      <c r="U26" s="44">
        <v>220</v>
      </c>
      <c r="V26" s="36">
        <f t="shared" si="0"/>
        <v>35.0396</v>
      </c>
      <c r="W26" s="45">
        <f t="shared" si="1"/>
        <v>70.08</v>
      </c>
      <c r="X26" s="39"/>
      <c r="Y26" s="39"/>
      <c r="Z26" s="52"/>
      <c r="AA26" s="16">
        <v>0.31</v>
      </c>
      <c r="AB26" s="39"/>
      <c r="AC26" s="16" t="s">
        <v>174</v>
      </c>
      <c r="AD26" s="20" t="s">
        <v>173</v>
      </c>
      <c r="AE26" s="54" t="s">
        <v>45</v>
      </c>
      <c r="AF26" s="51">
        <f t="shared" si="3"/>
        <v>237.6</v>
      </c>
    </row>
    <row r="27" s="2" customFormat="1" ht="42" customHeight="1" spans="1:32">
      <c r="A27" s="10" t="s">
        <v>175</v>
      </c>
      <c r="B27" s="11" t="s">
        <v>176</v>
      </c>
      <c r="C27" s="18" t="s">
        <v>33</v>
      </c>
      <c r="D27" s="13"/>
      <c r="E27" s="14" t="s">
        <v>68</v>
      </c>
      <c r="F27" s="18" t="s">
        <v>34</v>
      </c>
      <c r="G27" s="18" t="s">
        <v>34</v>
      </c>
      <c r="H27" s="10">
        <v>8207709000</v>
      </c>
      <c r="I27" s="10">
        <v>82077000</v>
      </c>
      <c r="J27" s="22" t="s">
        <v>177</v>
      </c>
      <c r="K27" s="23"/>
      <c r="L27" s="12" t="s">
        <v>36</v>
      </c>
      <c r="M27" s="18" t="s">
        <v>34</v>
      </c>
      <c r="N27" s="18" t="s">
        <v>34</v>
      </c>
      <c r="O27" s="24">
        <v>46265</v>
      </c>
      <c r="P27" s="18" t="s">
        <v>39</v>
      </c>
      <c r="Q27" s="18" t="s">
        <v>40</v>
      </c>
      <c r="R27" s="34"/>
      <c r="S27" s="12"/>
      <c r="T27" s="12">
        <v>3</v>
      </c>
      <c r="U27" s="35">
        <v>33</v>
      </c>
      <c r="V27" s="36">
        <f t="shared" si="0"/>
        <v>5.2559</v>
      </c>
      <c r="W27" s="45">
        <f t="shared" si="1"/>
        <v>15.77</v>
      </c>
      <c r="X27" s="38" t="s">
        <v>178</v>
      </c>
      <c r="Y27" s="38">
        <v>1</v>
      </c>
      <c r="Z27" s="49">
        <v>23.27</v>
      </c>
      <c r="AA27" s="10">
        <v>0.04</v>
      </c>
      <c r="AB27" s="38" t="s">
        <v>179</v>
      </c>
      <c r="AC27" s="10" t="s">
        <v>180</v>
      </c>
      <c r="AD27" s="14" t="s">
        <v>95</v>
      </c>
      <c r="AE27" s="54" t="s">
        <v>45</v>
      </c>
      <c r="AF27" s="51">
        <f t="shared" si="3"/>
        <v>35.64</v>
      </c>
    </row>
    <row r="28" s="2" customFormat="1" ht="42" customHeight="1" spans="1:32">
      <c r="A28" s="10" t="s">
        <v>175</v>
      </c>
      <c r="B28" s="11" t="s">
        <v>176</v>
      </c>
      <c r="C28" s="18" t="s">
        <v>33</v>
      </c>
      <c r="D28" s="13"/>
      <c r="E28" s="14" t="s">
        <v>181</v>
      </c>
      <c r="F28" s="18" t="s">
        <v>34</v>
      </c>
      <c r="G28" s="18" t="s">
        <v>34</v>
      </c>
      <c r="H28" s="10">
        <v>8207709000</v>
      </c>
      <c r="I28" s="10">
        <v>82077000</v>
      </c>
      <c r="J28" s="22" t="s">
        <v>182</v>
      </c>
      <c r="K28" s="23"/>
      <c r="L28" s="12" t="s">
        <v>36</v>
      </c>
      <c r="M28" s="18" t="s">
        <v>34</v>
      </c>
      <c r="N28" s="18" t="s">
        <v>34</v>
      </c>
      <c r="O28" s="24">
        <v>46265</v>
      </c>
      <c r="P28" s="18" t="s">
        <v>39</v>
      </c>
      <c r="Q28" s="18" t="s">
        <v>40</v>
      </c>
      <c r="R28" s="34"/>
      <c r="S28" s="12"/>
      <c r="T28" s="12">
        <v>4</v>
      </c>
      <c r="U28" s="35">
        <v>65</v>
      </c>
      <c r="V28" s="36">
        <f t="shared" ref="V28:V44" si="4">ROUND(U28*1.08/6.7809,4)</f>
        <v>10.3526</v>
      </c>
      <c r="W28" s="45">
        <f t="shared" ref="W28:W49" si="5">ROUND(V28*T28,2)</f>
        <v>41.41</v>
      </c>
      <c r="X28" s="39"/>
      <c r="Y28" s="39"/>
      <c r="Z28" s="52"/>
      <c r="AA28" s="10">
        <v>0.09</v>
      </c>
      <c r="AB28" s="39"/>
      <c r="AC28" s="10" t="s">
        <v>183</v>
      </c>
      <c r="AD28" s="14" t="s">
        <v>95</v>
      </c>
      <c r="AE28" s="54" t="s">
        <v>45</v>
      </c>
      <c r="AF28" s="51">
        <f t="shared" ref="AF28:AF41" si="6">ROUND(U28*1.08,4)</f>
        <v>70.2</v>
      </c>
    </row>
    <row r="29" s="2" customFormat="1" ht="42" customHeight="1" spans="1:32">
      <c r="A29" s="10" t="s">
        <v>175</v>
      </c>
      <c r="B29" s="11" t="s">
        <v>176</v>
      </c>
      <c r="C29" s="18" t="s">
        <v>33</v>
      </c>
      <c r="D29" s="13"/>
      <c r="E29" s="14" t="s">
        <v>109</v>
      </c>
      <c r="F29" s="18" t="s">
        <v>34</v>
      </c>
      <c r="G29" s="18" t="s">
        <v>34</v>
      </c>
      <c r="H29" s="10">
        <v>8207709000</v>
      </c>
      <c r="I29" s="10">
        <v>82077000</v>
      </c>
      <c r="J29" s="22" t="s">
        <v>184</v>
      </c>
      <c r="K29" s="23"/>
      <c r="L29" s="12" t="s">
        <v>36</v>
      </c>
      <c r="M29" s="18" t="s">
        <v>34</v>
      </c>
      <c r="N29" s="18" t="s">
        <v>34</v>
      </c>
      <c r="O29" s="24">
        <v>46265</v>
      </c>
      <c r="P29" s="18" t="s">
        <v>39</v>
      </c>
      <c r="Q29" s="18" t="s">
        <v>40</v>
      </c>
      <c r="R29" s="34"/>
      <c r="S29" s="12"/>
      <c r="T29" s="12">
        <v>3</v>
      </c>
      <c r="U29" s="35">
        <v>67</v>
      </c>
      <c r="V29" s="36">
        <f t="shared" si="4"/>
        <v>10.6711</v>
      </c>
      <c r="W29" s="45">
        <f t="shared" si="5"/>
        <v>32.01</v>
      </c>
      <c r="X29" s="39"/>
      <c r="Y29" s="39"/>
      <c r="Z29" s="52"/>
      <c r="AA29" s="10">
        <v>0.7</v>
      </c>
      <c r="AB29" s="39"/>
      <c r="AC29" s="10" t="s">
        <v>185</v>
      </c>
      <c r="AD29" s="14" t="s">
        <v>95</v>
      </c>
      <c r="AE29" s="54" t="s">
        <v>45</v>
      </c>
      <c r="AF29" s="51">
        <f t="shared" si="6"/>
        <v>72.36</v>
      </c>
    </row>
    <row r="30" s="2" customFormat="1" ht="42" customHeight="1" spans="1:32">
      <c r="A30" s="10" t="s">
        <v>175</v>
      </c>
      <c r="B30" s="11" t="s">
        <v>186</v>
      </c>
      <c r="C30" s="18" t="s">
        <v>33</v>
      </c>
      <c r="D30" s="13"/>
      <c r="E30" s="14" t="s">
        <v>171</v>
      </c>
      <c r="F30" s="18" t="s">
        <v>34</v>
      </c>
      <c r="G30" s="18" t="s">
        <v>34</v>
      </c>
      <c r="H30" s="10">
        <v>8207199000</v>
      </c>
      <c r="I30" s="10">
        <v>82077000</v>
      </c>
      <c r="J30" s="22" t="s">
        <v>187</v>
      </c>
      <c r="K30" s="23"/>
      <c r="L30" s="12" t="s">
        <v>36</v>
      </c>
      <c r="M30" s="18" t="s">
        <v>34</v>
      </c>
      <c r="N30" s="18" t="s">
        <v>34</v>
      </c>
      <c r="O30" s="24">
        <v>46265</v>
      </c>
      <c r="P30" s="18" t="s">
        <v>39</v>
      </c>
      <c r="Q30" s="18" t="s">
        <v>40</v>
      </c>
      <c r="R30" s="34"/>
      <c r="S30" s="12"/>
      <c r="T30" s="12">
        <v>3</v>
      </c>
      <c r="U30" s="35">
        <v>11</v>
      </c>
      <c r="V30" s="36">
        <f t="shared" si="4"/>
        <v>1.752</v>
      </c>
      <c r="W30" s="45">
        <f t="shared" si="5"/>
        <v>5.26</v>
      </c>
      <c r="X30" s="39"/>
      <c r="Y30" s="39"/>
      <c r="Z30" s="52"/>
      <c r="AA30" s="10">
        <v>0.01</v>
      </c>
      <c r="AB30" s="39"/>
      <c r="AC30" s="10" t="s">
        <v>188</v>
      </c>
      <c r="AD30" s="14" t="s">
        <v>95</v>
      </c>
      <c r="AE30" s="54" t="s">
        <v>45</v>
      </c>
      <c r="AF30" s="51">
        <f t="shared" si="6"/>
        <v>11.88</v>
      </c>
    </row>
    <row r="31" s="2" customFormat="1" ht="42" customHeight="1" spans="1:32">
      <c r="A31" s="10" t="s">
        <v>175</v>
      </c>
      <c r="B31" s="11" t="s">
        <v>186</v>
      </c>
      <c r="C31" s="18" t="s">
        <v>33</v>
      </c>
      <c r="D31" s="13"/>
      <c r="E31" s="14" t="s">
        <v>181</v>
      </c>
      <c r="F31" s="18" t="s">
        <v>34</v>
      </c>
      <c r="G31" s="18" t="s">
        <v>34</v>
      </c>
      <c r="H31" s="10">
        <v>8207199000</v>
      </c>
      <c r="I31" s="10">
        <v>82077000</v>
      </c>
      <c r="J31" s="22" t="s">
        <v>189</v>
      </c>
      <c r="K31" s="23"/>
      <c r="L31" s="12" t="s">
        <v>36</v>
      </c>
      <c r="M31" s="18" t="s">
        <v>34</v>
      </c>
      <c r="N31" s="18" t="s">
        <v>34</v>
      </c>
      <c r="O31" s="24">
        <v>46265</v>
      </c>
      <c r="P31" s="18" t="s">
        <v>39</v>
      </c>
      <c r="Q31" s="18" t="s">
        <v>40</v>
      </c>
      <c r="R31" s="34"/>
      <c r="S31" s="12"/>
      <c r="T31" s="12">
        <v>3</v>
      </c>
      <c r="U31" s="35">
        <v>18</v>
      </c>
      <c r="V31" s="36">
        <f t="shared" si="4"/>
        <v>2.8669</v>
      </c>
      <c r="W31" s="45">
        <f t="shared" si="5"/>
        <v>8.6</v>
      </c>
      <c r="X31" s="39"/>
      <c r="Y31" s="39"/>
      <c r="Z31" s="52"/>
      <c r="AA31" s="10">
        <v>0.04</v>
      </c>
      <c r="AB31" s="39"/>
      <c r="AC31" s="10" t="s">
        <v>190</v>
      </c>
      <c r="AD31" s="14" t="s">
        <v>95</v>
      </c>
      <c r="AE31" s="54" t="s">
        <v>45</v>
      </c>
      <c r="AF31" s="51">
        <f t="shared" si="6"/>
        <v>19.44</v>
      </c>
    </row>
    <row r="32" s="2" customFormat="1" ht="42" customHeight="1" spans="1:32">
      <c r="A32" s="10" t="s">
        <v>175</v>
      </c>
      <c r="B32" s="11" t="s">
        <v>186</v>
      </c>
      <c r="C32" s="18" t="s">
        <v>33</v>
      </c>
      <c r="D32" s="13"/>
      <c r="E32" s="14" t="s">
        <v>191</v>
      </c>
      <c r="F32" s="18" t="s">
        <v>34</v>
      </c>
      <c r="G32" s="18" t="s">
        <v>34</v>
      </c>
      <c r="H32" s="10">
        <v>8207199000</v>
      </c>
      <c r="I32" s="10">
        <v>82077000</v>
      </c>
      <c r="J32" s="22" t="s">
        <v>192</v>
      </c>
      <c r="K32" s="23"/>
      <c r="L32" s="12" t="s">
        <v>36</v>
      </c>
      <c r="M32" s="18" t="s">
        <v>34</v>
      </c>
      <c r="N32" s="18" t="s">
        <v>34</v>
      </c>
      <c r="O32" s="24">
        <v>46265</v>
      </c>
      <c r="P32" s="18" t="s">
        <v>39</v>
      </c>
      <c r="Q32" s="18" t="s">
        <v>40</v>
      </c>
      <c r="R32" s="34"/>
      <c r="S32" s="12"/>
      <c r="T32" s="12">
        <v>1</v>
      </c>
      <c r="U32" s="35">
        <v>38</v>
      </c>
      <c r="V32" s="36">
        <f t="shared" si="4"/>
        <v>6.0523</v>
      </c>
      <c r="W32" s="45">
        <f t="shared" si="5"/>
        <v>6.05</v>
      </c>
      <c r="X32" s="39"/>
      <c r="Y32" s="39"/>
      <c r="Z32" s="52"/>
      <c r="AA32" s="10">
        <v>0.04</v>
      </c>
      <c r="AB32" s="39"/>
      <c r="AC32" s="10" t="s">
        <v>193</v>
      </c>
      <c r="AD32" s="14" t="s">
        <v>95</v>
      </c>
      <c r="AE32" s="54" t="s">
        <v>45</v>
      </c>
      <c r="AF32" s="51">
        <f t="shared" si="6"/>
        <v>41.04</v>
      </c>
    </row>
    <row r="33" s="2" customFormat="1" ht="42" customHeight="1" spans="1:32">
      <c r="A33" s="10" t="s">
        <v>118</v>
      </c>
      <c r="B33" s="11" t="s">
        <v>119</v>
      </c>
      <c r="C33" s="18" t="s">
        <v>33</v>
      </c>
      <c r="D33" s="13"/>
      <c r="E33" s="14" t="s">
        <v>194</v>
      </c>
      <c r="F33" s="12" t="s">
        <v>34</v>
      </c>
      <c r="G33" s="12" t="s">
        <v>34</v>
      </c>
      <c r="H33" s="10">
        <v>7320209000</v>
      </c>
      <c r="I33" s="10">
        <v>73202090</v>
      </c>
      <c r="J33" s="22" t="s">
        <v>121</v>
      </c>
      <c r="K33" s="23"/>
      <c r="L33" s="12" t="s">
        <v>36</v>
      </c>
      <c r="M33" s="18" t="s">
        <v>34</v>
      </c>
      <c r="N33" s="18" t="s">
        <v>34</v>
      </c>
      <c r="O33" s="24">
        <v>46265</v>
      </c>
      <c r="P33" s="18" t="s">
        <v>39</v>
      </c>
      <c r="Q33" s="18" t="s">
        <v>40</v>
      </c>
      <c r="R33" s="34"/>
      <c r="S33" s="12"/>
      <c r="T33" s="12">
        <v>12</v>
      </c>
      <c r="U33" s="35">
        <v>17</v>
      </c>
      <c r="V33" s="36">
        <f t="shared" si="4"/>
        <v>2.7076</v>
      </c>
      <c r="W33" s="45">
        <f t="shared" si="5"/>
        <v>32.49</v>
      </c>
      <c r="X33" s="39"/>
      <c r="Y33" s="39"/>
      <c r="Z33" s="52"/>
      <c r="AA33" s="10">
        <v>6.15</v>
      </c>
      <c r="AB33" s="39"/>
      <c r="AC33" s="10" t="s">
        <v>195</v>
      </c>
      <c r="AD33" s="14" t="s">
        <v>95</v>
      </c>
      <c r="AE33" s="54" t="s">
        <v>45</v>
      </c>
      <c r="AF33" s="51">
        <f t="shared" si="6"/>
        <v>18.36</v>
      </c>
    </row>
    <row r="34" s="2" customFormat="1" ht="42" customHeight="1" spans="1:32">
      <c r="A34" s="10" t="s">
        <v>89</v>
      </c>
      <c r="B34" s="11" t="s">
        <v>96</v>
      </c>
      <c r="C34" s="18" t="s">
        <v>33</v>
      </c>
      <c r="D34" s="13"/>
      <c r="E34" s="14" t="s">
        <v>196</v>
      </c>
      <c r="F34" s="12" t="s">
        <v>34</v>
      </c>
      <c r="G34" s="12" t="s">
        <v>34</v>
      </c>
      <c r="H34" s="10">
        <v>8477900000</v>
      </c>
      <c r="I34" s="10">
        <v>84779032</v>
      </c>
      <c r="J34" s="23" t="s">
        <v>197</v>
      </c>
      <c r="K34" s="23"/>
      <c r="L34" s="12" t="s">
        <v>36</v>
      </c>
      <c r="M34" s="18" t="s">
        <v>34</v>
      </c>
      <c r="N34" s="18" t="s">
        <v>34</v>
      </c>
      <c r="O34" s="24">
        <v>46265</v>
      </c>
      <c r="P34" s="18" t="s">
        <v>39</v>
      </c>
      <c r="Q34" s="18" t="s">
        <v>40</v>
      </c>
      <c r="R34" s="34"/>
      <c r="S34" s="12"/>
      <c r="T34" s="12">
        <v>5</v>
      </c>
      <c r="U34" s="35">
        <v>18</v>
      </c>
      <c r="V34" s="36">
        <f t="shared" si="4"/>
        <v>2.8669</v>
      </c>
      <c r="W34" s="45">
        <f t="shared" si="5"/>
        <v>14.33</v>
      </c>
      <c r="X34" s="39"/>
      <c r="Y34" s="39"/>
      <c r="Z34" s="52"/>
      <c r="AA34" s="10">
        <v>0.11</v>
      </c>
      <c r="AB34" s="39"/>
      <c r="AC34" s="10" t="s">
        <v>198</v>
      </c>
      <c r="AD34" s="14" t="s">
        <v>95</v>
      </c>
      <c r="AE34" s="54" t="s">
        <v>45</v>
      </c>
      <c r="AF34" s="51">
        <f t="shared" si="6"/>
        <v>19.44</v>
      </c>
    </row>
    <row r="35" s="2" customFormat="1" ht="42" customHeight="1" spans="1:32">
      <c r="A35" s="10" t="s">
        <v>144</v>
      </c>
      <c r="B35" s="11" t="s">
        <v>145</v>
      </c>
      <c r="C35" s="18" t="s">
        <v>33</v>
      </c>
      <c r="D35" s="13"/>
      <c r="E35" s="14" t="s">
        <v>199</v>
      </c>
      <c r="F35" s="12" t="s">
        <v>34</v>
      </c>
      <c r="G35" s="12" t="s">
        <v>34</v>
      </c>
      <c r="H35" s="10">
        <v>8477900000</v>
      </c>
      <c r="I35" s="10">
        <v>84779010</v>
      </c>
      <c r="J35" s="23" t="s">
        <v>200</v>
      </c>
      <c r="K35" s="23"/>
      <c r="L35" s="12" t="s">
        <v>36</v>
      </c>
      <c r="M35" s="18" t="s">
        <v>34</v>
      </c>
      <c r="N35" s="18" t="s">
        <v>34</v>
      </c>
      <c r="O35" s="24">
        <v>46265</v>
      </c>
      <c r="P35" s="18" t="s">
        <v>39</v>
      </c>
      <c r="Q35" s="18" t="s">
        <v>40</v>
      </c>
      <c r="R35" s="34"/>
      <c r="S35" s="12"/>
      <c r="T35" s="12">
        <v>10</v>
      </c>
      <c r="U35" s="35">
        <v>36</v>
      </c>
      <c r="V35" s="36">
        <f t="shared" si="4"/>
        <v>5.7338</v>
      </c>
      <c r="W35" s="45">
        <f t="shared" si="5"/>
        <v>57.34</v>
      </c>
      <c r="X35" s="39"/>
      <c r="Y35" s="39"/>
      <c r="Z35" s="52"/>
      <c r="AA35" s="10">
        <v>2.48</v>
      </c>
      <c r="AB35" s="39"/>
      <c r="AC35" s="10" t="s">
        <v>201</v>
      </c>
      <c r="AD35" s="14" t="s">
        <v>95</v>
      </c>
      <c r="AE35" s="54" t="s">
        <v>45</v>
      </c>
      <c r="AF35" s="51">
        <f t="shared" si="6"/>
        <v>38.88</v>
      </c>
    </row>
    <row r="36" s="2" customFormat="1" ht="42" customHeight="1" spans="1:32">
      <c r="A36" s="10" t="s">
        <v>144</v>
      </c>
      <c r="B36" s="11" t="s">
        <v>145</v>
      </c>
      <c r="C36" s="18" t="s">
        <v>33</v>
      </c>
      <c r="D36" s="13"/>
      <c r="E36" s="14" t="s">
        <v>202</v>
      </c>
      <c r="F36" s="12" t="s">
        <v>34</v>
      </c>
      <c r="G36" s="12" t="s">
        <v>34</v>
      </c>
      <c r="H36" s="10">
        <v>8477900000</v>
      </c>
      <c r="I36" s="10">
        <v>84779010</v>
      </c>
      <c r="J36" s="23" t="s">
        <v>203</v>
      </c>
      <c r="K36" s="23"/>
      <c r="L36" s="12" t="s">
        <v>36</v>
      </c>
      <c r="M36" s="18" t="s">
        <v>34</v>
      </c>
      <c r="N36" s="18" t="s">
        <v>34</v>
      </c>
      <c r="O36" s="24">
        <v>46265</v>
      </c>
      <c r="P36" s="18" t="s">
        <v>39</v>
      </c>
      <c r="Q36" s="18" t="s">
        <v>40</v>
      </c>
      <c r="R36" s="34"/>
      <c r="S36" s="12"/>
      <c r="T36" s="12">
        <v>4</v>
      </c>
      <c r="U36" s="35">
        <v>15</v>
      </c>
      <c r="V36" s="36">
        <f t="shared" si="4"/>
        <v>2.3891</v>
      </c>
      <c r="W36" s="45">
        <f t="shared" si="5"/>
        <v>9.56</v>
      </c>
      <c r="X36" s="39"/>
      <c r="Y36" s="39"/>
      <c r="Z36" s="52"/>
      <c r="AA36" s="10">
        <v>0.74</v>
      </c>
      <c r="AB36" s="39"/>
      <c r="AC36" s="10" t="s">
        <v>204</v>
      </c>
      <c r="AD36" s="14" t="s">
        <v>95</v>
      </c>
      <c r="AE36" s="54" t="s">
        <v>45</v>
      </c>
      <c r="AF36" s="51">
        <f t="shared" si="6"/>
        <v>16.2</v>
      </c>
    </row>
    <row r="37" s="2" customFormat="1" ht="42" customHeight="1" spans="1:32">
      <c r="A37" s="10" t="s">
        <v>144</v>
      </c>
      <c r="B37" s="11" t="s">
        <v>145</v>
      </c>
      <c r="C37" s="18" t="s">
        <v>33</v>
      </c>
      <c r="D37" s="13"/>
      <c r="E37" s="14" t="s">
        <v>205</v>
      </c>
      <c r="F37" s="12" t="s">
        <v>34</v>
      </c>
      <c r="G37" s="12" t="s">
        <v>34</v>
      </c>
      <c r="H37" s="10">
        <v>8477900000</v>
      </c>
      <c r="I37" s="10">
        <v>84779010</v>
      </c>
      <c r="J37" s="23" t="s">
        <v>206</v>
      </c>
      <c r="K37" s="23"/>
      <c r="L37" s="12" t="s">
        <v>36</v>
      </c>
      <c r="M37" s="18" t="s">
        <v>34</v>
      </c>
      <c r="N37" s="18" t="s">
        <v>34</v>
      </c>
      <c r="O37" s="24">
        <v>46265</v>
      </c>
      <c r="P37" s="18" t="s">
        <v>39</v>
      </c>
      <c r="Q37" s="18" t="s">
        <v>40</v>
      </c>
      <c r="R37" s="34"/>
      <c r="S37" s="12"/>
      <c r="T37" s="12">
        <v>10</v>
      </c>
      <c r="U37" s="35">
        <v>13</v>
      </c>
      <c r="V37" s="36">
        <f t="shared" si="4"/>
        <v>2.0705</v>
      </c>
      <c r="W37" s="45">
        <f t="shared" si="5"/>
        <v>20.71</v>
      </c>
      <c r="X37" s="39"/>
      <c r="Y37" s="39"/>
      <c r="Z37" s="52"/>
      <c r="AA37" s="10">
        <v>0.87</v>
      </c>
      <c r="AB37" s="39"/>
      <c r="AC37" s="10" t="s">
        <v>201</v>
      </c>
      <c r="AD37" s="14" t="s">
        <v>95</v>
      </c>
      <c r="AE37" s="54" t="s">
        <v>45</v>
      </c>
      <c r="AF37" s="51">
        <f t="shared" si="6"/>
        <v>14.04</v>
      </c>
    </row>
    <row r="38" s="2" customFormat="1" ht="42" customHeight="1" spans="1:32">
      <c r="A38" s="10" t="s">
        <v>207</v>
      </c>
      <c r="B38" s="11" t="s">
        <v>208</v>
      </c>
      <c r="C38" s="18" t="s">
        <v>33</v>
      </c>
      <c r="D38" s="13"/>
      <c r="E38" s="14" t="s">
        <v>209</v>
      </c>
      <c r="F38" s="12" t="s">
        <v>34</v>
      </c>
      <c r="G38" s="12" t="s">
        <v>34</v>
      </c>
      <c r="H38" s="10">
        <v>7307110000</v>
      </c>
      <c r="I38" s="10">
        <v>73071190</v>
      </c>
      <c r="J38" s="22" t="s">
        <v>210</v>
      </c>
      <c r="K38" s="23"/>
      <c r="L38" s="12" t="s">
        <v>36</v>
      </c>
      <c r="M38" s="18" t="s">
        <v>34</v>
      </c>
      <c r="N38" s="18" t="s">
        <v>34</v>
      </c>
      <c r="O38" s="24">
        <v>46265</v>
      </c>
      <c r="P38" s="18" t="s">
        <v>39</v>
      </c>
      <c r="Q38" s="18" t="s">
        <v>40</v>
      </c>
      <c r="R38" s="34"/>
      <c r="S38" s="12"/>
      <c r="T38" s="12">
        <v>30</v>
      </c>
      <c r="U38" s="35">
        <v>11</v>
      </c>
      <c r="V38" s="36">
        <f t="shared" si="4"/>
        <v>1.752</v>
      </c>
      <c r="W38" s="45">
        <f t="shared" si="5"/>
        <v>52.56</v>
      </c>
      <c r="X38" s="39"/>
      <c r="Y38" s="39"/>
      <c r="Z38" s="52"/>
      <c r="AA38" s="10">
        <v>2.52</v>
      </c>
      <c r="AB38" s="39"/>
      <c r="AC38" s="10" t="s">
        <v>211</v>
      </c>
      <c r="AD38" s="14" t="s">
        <v>212</v>
      </c>
      <c r="AE38" s="54" t="s">
        <v>45</v>
      </c>
      <c r="AF38" s="51">
        <f t="shared" si="6"/>
        <v>11.88</v>
      </c>
    </row>
    <row r="39" s="2" customFormat="1" ht="42" customHeight="1" spans="1:32">
      <c r="A39" s="10" t="s">
        <v>207</v>
      </c>
      <c r="B39" s="11" t="s">
        <v>208</v>
      </c>
      <c r="C39" s="18" t="s">
        <v>33</v>
      </c>
      <c r="D39" s="13"/>
      <c r="E39" s="14" t="s">
        <v>213</v>
      </c>
      <c r="F39" s="12" t="s">
        <v>34</v>
      </c>
      <c r="G39" s="12" t="s">
        <v>34</v>
      </c>
      <c r="H39" s="10">
        <v>7307110000</v>
      </c>
      <c r="I39" s="10">
        <v>73071190</v>
      </c>
      <c r="J39" s="22" t="s">
        <v>210</v>
      </c>
      <c r="K39" s="23"/>
      <c r="L39" s="12" t="s">
        <v>36</v>
      </c>
      <c r="M39" s="18" t="s">
        <v>34</v>
      </c>
      <c r="N39" s="18" t="s">
        <v>34</v>
      </c>
      <c r="O39" s="24">
        <v>46265</v>
      </c>
      <c r="P39" s="18" t="s">
        <v>39</v>
      </c>
      <c r="Q39" s="18" t="s">
        <v>40</v>
      </c>
      <c r="R39" s="34"/>
      <c r="S39" s="12"/>
      <c r="T39" s="12">
        <v>10</v>
      </c>
      <c r="U39" s="35">
        <v>3</v>
      </c>
      <c r="V39" s="36">
        <f t="shared" si="4"/>
        <v>0.4778</v>
      </c>
      <c r="W39" s="45">
        <f t="shared" si="5"/>
        <v>4.78</v>
      </c>
      <c r="X39" s="39"/>
      <c r="Y39" s="39"/>
      <c r="Z39" s="52"/>
      <c r="AA39" s="10">
        <v>0.31</v>
      </c>
      <c r="AB39" s="39"/>
      <c r="AC39" s="10" t="s">
        <v>214</v>
      </c>
      <c r="AD39" s="14" t="s">
        <v>212</v>
      </c>
      <c r="AE39" s="54" t="s">
        <v>45</v>
      </c>
      <c r="AF39" s="51">
        <f t="shared" si="6"/>
        <v>3.24</v>
      </c>
    </row>
    <row r="40" s="2" customFormat="1" ht="42" customHeight="1" spans="1:32">
      <c r="A40" s="10" t="s">
        <v>215</v>
      </c>
      <c r="B40" s="11" t="s">
        <v>216</v>
      </c>
      <c r="C40" s="18" t="s">
        <v>33</v>
      </c>
      <c r="D40" s="13"/>
      <c r="E40" s="14" t="s">
        <v>217</v>
      </c>
      <c r="F40" s="12" t="s">
        <v>34</v>
      </c>
      <c r="G40" s="12" t="s">
        <v>34</v>
      </c>
      <c r="H40" s="10">
        <v>8477900000</v>
      </c>
      <c r="I40" s="10">
        <v>84779039</v>
      </c>
      <c r="J40" s="22" t="s">
        <v>218</v>
      </c>
      <c r="K40" s="23"/>
      <c r="L40" s="12" t="s">
        <v>36</v>
      </c>
      <c r="M40" s="18" t="s">
        <v>34</v>
      </c>
      <c r="N40" s="18" t="s">
        <v>34</v>
      </c>
      <c r="O40" s="24">
        <v>46265</v>
      </c>
      <c r="P40" s="18" t="s">
        <v>39</v>
      </c>
      <c r="Q40" s="18" t="s">
        <v>40</v>
      </c>
      <c r="R40" s="34"/>
      <c r="S40" s="12"/>
      <c r="T40" s="12">
        <v>3</v>
      </c>
      <c r="U40" s="35">
        <v>210</v>
      </c>
      <c r="V40" s="36">
        <f t="shared" si="4"/>
        <v>33.4469</v>
      </c>
      <c r="W40" s="45">
        <f t="shared" si="5"/>
        <v>100.34</v>
      </c>
      <c r="X40" s="39"/>
      <c r="Y40" s="39"/>
      <c r="Z40" s="52"/>
      <c r="AA40" s="10">
        <v>3.53</v>
      </c>
      <c r="AB40" s="39"/>
      <c r="AC40" s="10" t="s">
        <v>219</v>
      </c>
      <c r="AD40" s="14" t="s">
        <v>220</v>
      </c>
      <c r="AE40" s="54" t="s">
        <v>45</v>
      </c>
      <c r="AF40" s="51">
        <f t="shared" si="6"/>
        <v>226.8</v>
      </c>
    </row>
    <row r="41" s="2" customFormat="1" ht="42" customHeight="1" spans="1:32">
      <c r="A41" s="10" t="s">
        <v>221</v>
      </c>
      <c r="B41" s="11" t="s">
        <v>222</v>
      </c>
      <c r="C41" s="18" t="s">
        <v>33</v>
      </c>
      <c r="D41" s="13"/>
      <c r="E41" s="14" t="s">
        <v>34</v>
      </c>
      <c r="F41" s="12" t="s">
        <v>34</v>
      </c>
      <c r="G41" s="12" t="s">
        <v>34</v>
      </c>
      <c r="H41" s="10">
        <v>3926909090</v>
      </c>
      <c r="I41" s="10">
        <v>39269099</v>
      </c>
      <c r="J41" s="22" t="s">
        <v>223</v>
      </c>
      <c r="K41" s="23"/>
      <c r="L41" s="12" t="s">
        <v>50</v>
      </c>
      <c r="M41" s="18" t="s">
        <v>34</v>
      </c>
      <c r="N41" s="18" t="s">
        <v>34</v>
      </c>
      <c r="O41" s="24">
        <v>46265</v>
      </c>
      <c r="P41" s="18" t="s">
        <v>39</v>
      </c>
      <c r="Q41" s="18" t="s">
        <v>40</v>
      </c>
      <c r="R41" s="34"/>
      <c r="S41" s="12"/>
      <c r="T41" s="12">
        <v>4</v>
      </c>
      <c r="U41" s="35">
        <v>35</v>
      </c>
      <c r="V41" s="36">
        <f t="shared" si="4"/>
        <v>5.5745</v>
      </c>
      <c r="W41" s="45">
        <f t="shared" si="5"/>
        <v>22.3</v>
      </c>
      <c r="X41" s="39"/>
      <c r="Y41" s="39"/>
      <c r="Z41" s="52"/>
      <c r="AA41" s="10">
        <v>0.96</v>
      </c>
      <c r="AB41" s="39"/>
      <c r="AC41" s="10" t="s">
        <v>224</v>
      </c>
      <c r="AD41" s="14" t="s">
        <v>225</v>
      </c>
      <c r="AE41" s="54" t="s">
        <v>45</v>
      </c>
      <c r="AF41" s="51">
        <f t="shared" si="6"/>
        <v>37.8</v>
      </c>
    </row>
    <row r="42" s="2" customFormat="1" ht="42" customHeight="1" spans="1:32">
      <c r="A42" s="10" t="s">
        <v>46</v>
      </c>
      <c r="B42" s="11" t="s">
        <v>226</v>
      </c>
      <c r="C42" s="18" t="s">
        <v>227</v>
      </c>
      <c r="D42" s="13"/>
      <c r="E42" s="14" t="s">
        <v>34</v>
      </c>
      <c r="F42" s="12" t="s">
        <v>34</v>
      </c>
      <c r="G42" s="12" t="s">
        <v>34</v>
      </c>
      <c r="H42" s="10">
        <v>4010390000</v>
      </c>
      <c r="I42" s="10">
        <v>39269053</v>
      </c>
      <c r="J42" s="27" t="s">
        <v>228</v>
      </c>
      <c r="K42" s="23"/>
      <c r="L42" s="12" t="s">
        <v>50</v>
      </c>
      <c r="M42" s="18" t="s">
        <v>34</v>
      </c>
      <c r="N42" s="18" t="s">
        <v>34</v>
      </c>
      <c r="O42" s="24">
        <v>46266</v>
      </c>
      <c r="P42" s="18" t="s">
        <v>39</v>
      </c>
      <c r="Q42" s="18" t="s">
        <v>40</v>
      </c>
      <c r="R42" s="34"/>
      <c r="S42" s="12"/>
      <c r="T42" s="12">
        <v>30</v>
      </c>
      <c r="U42" s="35">
        <v>39.6</v>
      </c>
      <c r="V42" s="36">
        <f>ROUND(U42/1.13*1.08/6.7809,4)</f>
        <v>5.5815</v>
      </c>
      <c r="W42" s="45">
        <f t="shared" si="5"/>
        <v>167.45</v>
      </c>
      <c r="X42" s="39"/>
      <c r="Y42" s="39"/>
      <c r="Z42" s="52"/>
      <c r="AA42" s="10">
        <v>0.82</v>
      </c>
      <c r="AB42" s="39"/>
      <c r="AC42" s="10" t="s">
        <v>229</v>
      </c>
      <c r="AD42" s="14" t="s">
        <v>230</v>
      </c>
      <c r="AE42" s="54" t="s">
        <v>45</v>
      </c>
      <c r="AF42" s="51">
        <f>ROUND(U42/1.13*1.08,4)</f>
        <v>37.8478</v>
      </c>
    </row>
    <row r="43" s="2" customFormat="1" ht="42" customHeight="1" spans="1:32">
      <c r="A43" s="10" t="s">
        <v>231</v>
      </c>
      <c r="B43" s="11" t="s">
        <v>232</v>
      </c>
      <c r="C43" s="18" t="s">
        <v>227</v>
      </c>
      <c r="D43" s="13"/>
      <c r="E43" s="14">
        <v>0.5</v>
      </c>
      <c r="F43" s="12" t="s">
        <v>34</v>
      </c>
      <c r="G43" s="12" t="s">
        <v>34</v>
      </c>
      <c r="H43" s="10">
        <v>8424200000</v>
      </c>
      <c r="I43" s="10">
        <v>84242019</v>
      </c>
      <c r="J43" s="23" t="s">
        <v>233</v>
      </c>
      <c r="K43" s="23"/>
      <c r="L43" s="12" t="s">
        <v>36</v>
      </c>
      <c r="M43" s="18" t="s">
        <v>34</v>
      </c>
      <c r="N43" s="18" t="s">
        <v>34</v>
      </c>
      <c r="O43" s="24">
        <v>46266</v>
      </c>
      <c r="P43" s="18" t="s">
        <v>39</v>
      </c>
      <c r="Q43" s="18" t="s">
        <v>40</v>
      </c>
      <c r="R43" s="34"/>
      <c r="S43" s="12"/>
      <c r="T43" s="12">
        <v>4</v>
      </c>
      <c r="U43" s="35">
        <v>396</v>
      </c>
      <c r="V43" s="36">
        <f>ROUND(U43/1.13*1.08/6.7809,4)</f>
        <v>55.8153</v>
      </c>
      <c r="W43" s="45">
        <f t="shared" si="5"/>
        <v>223.26</v>
      </c>
      <c r="X43" s="39"/>
      <c r="Y43" s="39"/>
      <c r="Z43" s="52"/>
      <c r="AA43" s="10">
        <v>1.19</v>
      </c>
      <c r="AB43" s="39"/>
      <c r="AC43" s="10" t="s">
        <v>234</v>
      </c>
      <c r="AD43" s="14" t="s">
        <v>235</v>
      </c>
      <c r="AE43" s="54" t="s">
        <v>45</v>
      </c>
      <c r="AF43" s="51">
        <f>ROUND(U43/1.13*1.08,4)</f>
        <v>378.4779</v>
      </c>
    </row>
    <row r="44" s="2" customFormat="1" ht="42" customHeight="1" spans="1:32">
      <c r="A44" s="10" t="s">
        <v>236</v>
      </c>
      <c r="B44" s="11" t="s">
        <v>237</v>
      </c>
      <c r="C44" s="12" t="s">
        <v>238</v>
      </c>
      <c r="D44" s="13"/>
      <c r="E44" s="14" t="s">
        <v>239</v>
      </c>
      <c r="F44" s="12" t="s">
        <v>34</v>
      </c>
      <c r="G44" s="12" t="s">
        <v>34</v>
      </c>
      <c r="H44" s="10">
        <v>8471605000</v>
      </c>
      <c r="I44" s="10">
        <v>84716090</v>
      </c>
      <c r="J44" s="23" t="s">
        <v>240</v>
      </c>
      <c r="K44" s="23"/>
      <c r="L44" s="12" t="s">
        <v>241</v>
      </c>
      <c r="M44" s="18" t="s">
        <v>242</v>
      </c>
      <c r="N44" s="18" t="s">
        <v>34</v>
      </c>
      <c r="O44" s="24">
        <v>46269</v>
      </c>
      <c r="P44" s="18" t="s">
        <v>39</v>
      </c>
      <c r="Q44" s="18" t="s">
        <v>40</v>
      </c>
      <c r="R44" s="34"/>
      <c r="S44" s="12"/>
      <c r="T44" s="12">
        <v>1</v>
      </c>
      <c r="U44" s="35">
        <v>585</v>
      </c>
      <c r="V44" s="36">
        <f>ROUND(U44/1.13*1.08/6.7809,4)</f>
        <v>82.4544</v>
      </c>
      <c r="W44" s="45">
        <f t="shared" si="5"/>
        <v>82.45</v>
      </c>
      <c r="X44" s="40"/>
      <c r="Y44" s="40"/>
      <c r="Z44" s="53"/>
      <c r="AA44" s="10">
        <v>0.16</v>
      </c>
      <c r="AB44" s="40"/>
      <c r="AC44" s="10" t="s">
        <v>243</v>
      </c>
      <c r="AD44" s="14" t="s">
        <v>244</v>
      </c>
      <c r="AE44" s="54" t="s">
        <v>45</v>
      </c>
      <c r="AF44" s="51">
        <f>ROUND(U44/1.13*1.08,4)</f>
        <v>559.115</v>
      </c>
    </row>
    <row r="45" s="2" customFormat="1" ht="42" customHeight="1" spans="1:32">
      <c r="A45" s="10" t="s">
        <v>245</v>
      </c>
      <c r="B45" s="11" t="s">
        <v>246</v>
      </c>
      <c r="C45" s="12" t="s">
        <v>247</v>
      </c>
      <c r="D45" s="13"/>
      <c r="E45" s="14" t="s">
        <v>248</v>
      </c>
      <c r="F45" s="12" t="s">
        <v>34</v>
      </c>
      <c r="G45" s="12" t="s">
        <v>34</v>
      </c>
      <c r="H45" s="10">
        <v>8422309090</v>
      </c>
      <c r="I45" s="10">
        <v>84223000</v>
      </c>
      <c r="J45" s="22" t="s">
        <v>249</v>
      </c>
      <c r="K45" s="23"/>
      <c r="L45" s="12" t="s">
        <v>250</v>
      </c>
      <c r="M45" s="18" t="s">
        <v>251</v>
      </c>
      <c r="N45" s="18" t="s">
        <v>252</v>
      </c>
      <c r="O45" s="24">
        <v>46160</v>
      </c>
      <c r="P45" s="18" t="s">
        <v>39</v>
      </c>
      <c r="Q45" s="12" t="s">
        <v>40</v>
      </c>
      <c r="R45" s="34"/>
      <c r="S45" s="12"/>
      <c r="T45" s="12">
        <v>1</v>
      </c>
      <c r="U45" s="35">
        <v>280</v>
      </c>
      <c r="V45" s="36">
        <f>ROUND(U45*1.08/6.7809,4)</f>
        <v>44.5959</v>
      </c>
      <c r="W45" s="45">
        <f t="shared" si="5"/>
        <v>44.6</v>
      </c>
      <c r="X45" s="46" t="s">
        <v>253</v>
      </c>
      <c r="Y45" s="46">
        <v>1</v>
      </c>
      <c r="Z45" s="55">
        <v>10</v>
      </c>
      <c r="AA45" s="10">
        <v>8.8</v>
      </c>
      <c r="AB45" s="46" t="s">
        <v>254</v>
      </c>
      <c r="AC45" s="10" t="s">
        <v>255</v>
      </c>
      <c r="AD45" s="14" t="s">
        <v>256</v>
      </c>
      <c r="AE45" s="50" t="s">
        <v>45</v>
      </c>
      <c r="AF45" s="51">
        <f>ROUND(U45*1.08,4)</f>
        <v>302.4</v>
      </c>
    </row>
    <row r="46" s="2" customFormat="1" ht="42" customHeight="1" spans="1:32">
      <c r="A46" s="10" t="s">
        <v>257</v>
      </c>
      <c r="B46" s="11" t="s">
        <v>258</v>
      </c>
      <c r="C46" s="12" t="s">
        <v>259</v>
      </c>
      <c r="D46" s="13"/>
      <c r="E46" s="14" t="s">
        <v>137</v>
      </c>
      <c r="F46" s="12" t="s">
        <v>34</v>
      </c>
      <c r="G46" s="12" t="s">
        <v>34</v>
      </c>
      <c r="H46" s="10">
        <v>4010390000</v>
      </c>
      <c r="I46" s="10">
        <v>40103900</v>
      </c>
      <c r="J46" s="22" t="s">
        <v>260</v>
      </c>
      <c r="K46" s="23"/>
      <c r="L46" s="12" t="s">
        <v>261</v>
      </c>
      <c r="M46" s="18" t="s">
        <v>34</v>
      </c>
      <c r="N46" s="18" t="s">
        <v>34</v>
      </c>
      <c r="O46" s="24" t="s">
        <v>262</v>
      </c>
      <c r="P46" s="18" t="s">
        <v>39</v>
      </c>
      <c r="Q46" s="12" t="s">
        <v>40</v>
      </c>
      <c r="R46" s="34"/>
      <c r="S46" s="12"/>
      <c r="T46" s="12">
        <v>1</v>
      </c>
      <c r="U46" s="35">
        <v>2600</v>
      </c>
      <c r="V46" s="36">
        <f>ROUND(U46/1.13*1.08/6.7809,4)</f>
        <v>366.464</v>
      </c>
      <c r="W46" s="45">
        <f t="shared" si="5"/>
        <v>366.46</v>
      </c>
      <c r="X46" s="38" t="s">
        <v>263</v>
      </c>
      <c r="Y46" s="38">
        <v>1</v>
      </c>
      <c r="Z46" s="49">
        <v>0.6</v>
      </c>
      <c r="AA46" s="10">
        <v>0.01</v>
      </c>
      <c r="AB46" s="38" t="s">
        <v>264</v>
      </c>
      <c r="AC46" s="10" t="s">
        <v>265</v>
      </c>
      <c r="AD46" s="14" t="s">
        <v>266</v>
      </c>
      <c r="AE46" s="50" t="s">
        <v>45</v>
      </c>
      <c r="AF46" s="51">
        <f>ROUND(U46/1.13*1.08,4)</f>
        <v>2484.9558</v>
      </c>
    </row>
    <row r="47" s="2" customFormat="1" ht="42" customHeight="1" spans="1:32">
      <c r="A47" s="10" t="s">
        <v>267</v>
      </c>
      <c r="B47" s="11" t="s">
        <v>268</v>
      </c>
      <c r="C47" s="12" t="s">
        <v>259</v>
      </c>
      <c r="D47" s="13"/>
      <c r="E47" s="14" t="s">
        <v>178</v>
      </c>
      <c r="F47" s="12" t="s">
        <v>34</v>
      </c>
      <c r="G47" s="12" t="s">
        <v>34</v>
      </c>
      <c r="H47" s="10">
        <v>4010390000</v>
      </c>
      <c r="I47" s="10">
        <v>40103900</v>
      </c>
      <c r="J47" s="22" t="s">
        <v>269</v>
      </c>
      <c r="K47" s="23"/>
      <c r="L47" s="12" t="s">
        <v>261</v>
      </c>
      <c r="M47" s="18" t="s">
        <v>34</v>
      </c>
      <c r="N47" s="18" t="s">
        <v>34</v>
      </c>
      <c r="O47" s="24" t="s">
        <v>262</v>
      </c>
      <c r="P47" s="18" t="s">
        <v>39</v>
      </c>
      <c r="Q47" s="12" t="s">
        <v>40</v>
      </c>
      <c r="R47" s="34"/>
      <c r="S47" s="12"/>
      <c r="T47" s="12">
        <v>1</v>
      </c>
      <c r="U47" s="35">
        <v>900</v>
      </c>
      <c r="V47" s="36">
        <f>ROUND(U47/1.13*1.08/6.7809,4)</f>
        <v>126.8529</v>
      </c>
      <c r="W47" s="45">
        <f t="shared" si="5"/>
        <v>126.85</v>
      </c>
      <c r="X47" s="39"/>
      <c r="Y47" s="39"/>
      <c r="Z47" s="52"/>
      <c r="AA47" s="10">
        <v>0.18</v>
      </c>
      <c r="AB47" s="39"/>
      <c r="AC47" s="10" t="s">
        <v>270</v>
      </c>
      <c r="AD47" s="14" t="s">
        <v>266</v>
      </c>
      <c r="AE47" s="50" t="s">
        <v>45</v>
      </c>
      <c r="AF47" s="51">
        <f t="shared" ref="AF47:AF56" si="7">ROUND(U47/1.13*1.08,4)</f>
        <v>860.177</v>
      </c>
    </row>
    <row r="48" s="2" customFormat="1" ht="42" customHeight="1" spans="1:32">
      <c r="A48" s="10" t="s">
        <v>267</v>
      </c>
      <c r="B48" s="11" t="s">
        <v>271</v>
      </c>
      <c r="C48" s="12" t="s">
        <v>259</v>
      </c>
      <c r="D48" s="13"/>
      <c r="E48" s="14" t="s">
        <v>109</v>
      </c>
      <c r="F48" s="12" t="s">
        <v>34</v>
      </c>
      <c r="G48" s="12" t="s">
        <v>34</v>
      </c>
      <c r="H48" s="10">
        <v>4010390000</v>
      </c>
      <c r="I48" s="10">
        <v>40103900</v>
      </c>
      <c r="J48" s="22" t="s">
        <v>269</v>
      </c>
      <c r="K48" s="23"/>
      <c r="L48" s="12" t="s">
        <v>261</v>
      </c>
      <c r="M48" s="18" t="s">
        <v>34</v>
      </c>
      <c r="N48" s="18" t="s">
        <v>34</v>
      </c>
      <c r="O48" s="24" t="s">
        <v>262</v>
      </c>
      <c r="P48" s="18" t="s">
        <v>39</v>
      </c>
      <c r="Q48" s="12" t="s">
        <v>40</v>
      </c>
      <c r="R48" s="34"/>
      <c r="S48" s="12"/>
      <c r="T48" s="12">
        <v>1</v>
      </c>
      <c r="U48" s="35">
        <v>1050</v>
      </c>
      <c r="V48" s="36">
        <f>ROUND(U48/1.13*1.08/6.7809,4)</f>
        <v>147.9951</v>
      </c>
      <c r="W48" s="45">
        <f t="shared" si="5"/>
        <v>148</v>
      </c>
      <c r="X48" s="40"/>
      <c r="Y48" s="40"/>
      <c r="Z48" s="53"/>
      <c r="AA48" s="10">
        <v>0.16</v>
      </c>
      <c r="AB48" s="40"/>
      <c r="AC48" s="10" t="s">
        <v>270</v>
      </c>
      <c r="AD48" s="14" t="s">
        <v>266</v>
      </c>
      <c r="AE48" s="50" t="s">
        <v>45</v>
      </c>
      <c r="AF48" s="51">
        <f t="shared" si="7"/>
        <v>1003.5398</v>
      </c>
    </row>
    <row r="49" s="2" customFormat="1" ht="42" customHeight="1" spans="1:32">
      <c r="A49" s="10" t="s">
        <v>272</v>
      </c>
      <c r="B49" s="11" t="s">
        <v>273</v>
      </c>
      <c r="C49" s="12" t="s">
        <v>274</v>
      </c>
      <c r="D49" s="13"/>
      <c r="E49" s="14" t="s">
        <v>275</v>
      </c>
      <c r="F49" s="12" t="s">
        <v>34</v>
      </c>
      <c r="G49" s="12" t="s">
        <v>276</v>
      </c>
      <c r="H49" s="10">
        <v>8480719090</v>
      </c>
      <c r="I49" s="10">
        <v>84807190</v>
      </c>
      <c r="J49" s="23" t="s">
        <v>277</v>
      </c>
      <c r="K49" s="23"/>
      <c r="L49" s="12" t="s">
        <v>278</v>
      </c>
      <c r="M49" s="18" t="s">
        <v>34</v>
      </c>
      <c r="N49" s="18" t="s">
        <v>34</v>
      </c>
      <c r="O49" s="24">
        <v>46251</v>
      </c>
      <c r="P49" s="18" t="s">
        <v>39</v>
      </c>
      <c r="Q49" s="12" t="s">
        <v>40</v>
      </c>
      <c r="R49" s="34"/>
      <c r="S49" s="12"/>
      <c r="T49" s="12">
        <v>1</v>
      </c>
      <c r="U49" s="35">
        <v>1600</v>
      </c>
      <c r="V49" s="36">
        <f t="shared" ref="V49:V56" si="8">ROUND(U49/1.13*1.08/6.7809,4)</f>
        <v>225.5163</v>
      </c>
      <c r="W49" s="45">
        <f t="shared" ref="W49:W56" si="9">ROUND(V49*T49,2)</f>
        <v>225.52</v>
      </c>
      <c r="X49" s="38" t="s">
        <v>279</v>
      </c>
      <c r="Y49" s="38">
        <v>1</v>
      </c>
      <c r="Z49" s="49">
        <v>6.5</v>
      </c>
      <c r="AA49" s="10">
        <v>3.5</v>
      </c>
      <c r="AB49" s="38" t="s">
        <v>280</v>
      </c>
      <c r="AC49" s="10" t="s">
        <v>281</v>
      </c>
      <c r="AD49" s="14" t="s">
        <v>282</v>
      </c>
      <c r="AE49" s="50" t="s">
        <v>45</v>
      </c>
      <c r="AF49" s="51">
        <f t="shared" si="7"/>
        <v>1529.2035</v>
      </c>
    </row>
    <row r="50" s="2" customFormat="1" ht="42" customHeight="1" spans="1:32">
      <c r="A50" s="10" t="s">
        <v>283</v>
      </c>
      <c r="B50" s="11" t="s">
        <v>284</v>
      </c>
      <c r="C50" s="12" t="s">
        <v>285</v>
      </c>
      <c r="D50" s="13"/>
      <c r="E50" s="14" t="s">
        <v>286</v>
      </c>
      <c r="F50" s="12" t="s">
        <v>34</v>
      </c>
      <c r="G50" s="12" t="s">
        <v>287</v>
      </c>
      <c r="H50" s="10">
        <v>8466200090</v>
      </c>
      <c r="I50" s="10">
        <v>84662090</v>
      </c>
      <c r="J50" s="23" t="s">
        <v>288</v>
      </c>
      <c r="K50" s="23"/>
      <c r="L50" s="12" t="s">
        <v>289</v>
      </c>
      <c r="M50" s="18" t="s">
        <v>34</v>
      </c>
      <c r="N50" s="18" t="s">
        <v>34</v>
      </c>
      <c r="O50" s="24">
        <v>46251</v>
      </c>
      <c r="P50" s="18" t="s">
        <v>39</v>
      </c>
      <c r="Q50" s="12" t="s">
        <v>40</v>
      </c>
      <c r="R50" s="34"/>
      <c r="S50" s="12"/>
      <c r="T50" s="12">
        <v>2</v>
      </c>
      <c r="U50" s="35">
        <v>80</v>
      </c>
      <c r="V50" s="36">
        <f t="shared" si="8"/>
        <v>11.2758</v>
      </c>
      <c r="W50" s="45">
        <f t="shared" si="9"/>
        <v>22.55</v>
      </c>
      <c r="X50" s="39"/>
      <c r="Y50" s="39"/>
      <c r="Z50" s="52"/>
      <c r="AA50" s="10">
        <v>1</v>
      </c>
      <c r="AB50" s="39"/>
      <c r="AC50" s="10" t="s">
        <v>290</v>
      </c>
      <c r="AD50" s="14" t="s">
        <v>282</v>
      </c>
      <c r="AE50" s="50" t="s">
        <v>45</v>
      </c>
      <c r="AF50" s="51">
        <f t="shared" si="7"/>
        <v>76.4602</v>
      </c>
    </row>
    <row r="51" s="2" customFormat="1" ht="42" customHeight="1" spans="1:32">
      <c r="A51" s="10" t="s">
        <v>291</v>
      </c>
      <c r="B51" s="11" t="s">
        <v>292</v>
      </c>
      <c r="C51" s="12" t="s">
        <v>285</v>
      </c>
      <c r="D51" s="13"/>
      <c r="E51" s="14" t="s">
        <v>286</v>
      </c>
      <c r="F51" s="12" t="s">
        <v>34</v>
      </c>
      <c r="G51" s="12" t="s">
        <v>293</v>
      </c>
      <c r="H51" s="10">
        <v>8466200090</v>
      </c>
      <c r="I51" s="10">
        <v>84662090</v>
      </c>
      <c r="J51" s="23" t="s">
        <v>288</v>
      </c>
      <c r="K51" s="23"/>
      <c r="L51" s="12" t="s">
        <v>289</v>
      </c>
      <c r="M51" s="18" t="s">
        <v>34</v>
      </c>
      <c r="N51" s="18" t="s">
        <v>34</v>
      </c>
      <c r="O51" s="24">
        <v>46251</v>
      </c>
      <c r="P51" s="18" t="s">
        <v>39</v>
      </c>
      <c r="Q51" s="12" t="s">
        <v>40</v>
      </c>
      <c r="R51" s="34"/>
      <c r="S51" s="12"/>
      <c r="T51" s="12">
        <v>2</v>
      </c>
      <c r="U51" s="35">
        <v>80</v>
      </c>
      <c r="V51" s="36">
        <f t="shared" si="8"/>
        <v>11.2758</v>
      </c>
      <c r="W51" s="45">
        <f t="shared" si="9"/>
        <v>22.55</v>
      </c>
      <c r="X51" s="40"/>
      <c r="Y51" s="40"/>
      <c r="Z51" s="53"/>
      <c r="AA51" s="10">
        <v>1</v>
      </c>
      <c r="AB51" s="40"/>
      <c r="AC51" s="10" t="s">
        <v>290</v>
      </c>
      <c r="AD51" s="14" t="s">
        <v>282</v>
      </c>
      <c r="AE51" s="50" t="s">
        <v>45</v>
      </c>
      <c r="AF51" s="51">
        <f t="shared" si="7"/>
        <v>76.4602</v>
      </c>
    </row>
    <row r="52" s="2" customFormat="1" ht="42" customHeight="1" spans="1:32">
      <c r="A52" s="10" t="s">
        <v>294</v>
      </c>
      <c r="B52" s="11" t="s">
        <v>295</v>
      </c>
      <c r="C52" s="12" t="s">
        <v>274</v>
      </c>
      <c r="D52" s="13"/>
      <c r="E52" s="14" t="s">
        <v>296</v>
      </c>
      <c r="F52" s="12" t="s">
        <v>34</v>
      </c>
      <c r="G52" s="12" t="s">
        <v>34</v>
      </c>
      <c r="H52" s="10">
        <v>8479909090</v>
      </c>
      <c r="I52" s="10">
        <v>84799040</v>
      </c>
      <c r="J52" s="23" t="s">
        <v>297</v>
      </c>
      <c r="K52" s="23"/>
      <c r="L52" s="12" t="s">
        <v>278</v>
      </c>
      <c r="M52" s="18" t="s">
        <v>34</v>
      </c>
      <c r="N52" s="18" t="s">
        <v>34</v>
      </c>
      <c r="O52" s="24" t="s">
        <v>298</v>
      </c>
      <c r="P52" s="18" t="s">
        <v>39</v>
      </c>
      <c r="Q52" s="12" t="s">
        <v>40</v>
      </c>
      <c r="R52" s="34"/>
      <c r="S52" s="12"/>
      <c r="T52" s="12">
        <v>1</v>
      </c>
      <c r="U52" s="35">
        <v>2500</v>
      </c>
      <c r="V52" s="36">
        <f t="shared" si="8"/>
        <v>352.3692</v>
      </c>
      <c r="W52" s="45">
        <f t="shared" si="9"/>
        <v>352.37</v>
      </c>
      <c r="X52" s="38" t="s">
        <v>299</v>
      </c>
      <c r="Y52" s="38">
        <v>1</v>
      </c>
      <c r="Z52" s="49">
        <v>6.9</v>
      </c>
      <c r="AA52" s="10">
        <v>5.7</v>
      </c>
      <c r="AB52" s="38" t="s">
        <v>300</v>
      </c>
      <c r="AC52" s="10" t="s">
        <v>301</v>
      </c>
      <c r="AD52" s="14" t="s">
        <v>282</v>
      </c>
      <c r="AE52" s="50" t="s">
        <v>45</v>
      </c>
      <c r="AF52" s="51">
        <f t="shared" si="7"/>
        <v>2389.3805</v>
      </c>
    </row>
    <row r="53" s="2" customFormat="1" ht="42" customHeight="1" spans="1:32">
      <c r="A53" s="10" t="s">
        <v>302</v>
      </c>
      <c r="B53" s="11" t="s">
        <v>303</v>
      </c>
      <c r="C53" s="12" t="s">
        <v>285</v>
      </c>
      <c r="D53" s="13"/>
      <c r="E53" s="14" t="s">
        <v>304</v>
      </c>
      <c r="F53" s="12" t="s">
        <v>34</v>
      </c>
      <c r="G53" s="12" t="s">
        <v>34</v>
      </c>
      <c r="H53" s="10">
        <v>8466200090</v>
      </c>
      <c r="I53" s="10">
        <v>84662090</v>
      </c>
      <c r="J53" s="23" t="s">
        <v>305</v>
      </c>
      <c r="K53" s="23"/>
      <c r="L53" s="12" t="s">
        <v>289</v>
      </c>
      <c r="M53" s="18" t="s">
        <v>34</v>
      </c>
      <c r="N53" s="18" t="s">
        <v>34</v>
      </c>
      <c r="O53" s="24" t="s">
        <v>306</v>
      </c>
      <c r="P53" s="18" t="s">
        <v>39</v>
      </c>
      <c r="Q53" s="12" t="s">
        <v>40</v>
      </c>
      <c r="R53" s="34"/>
      <c r="S53" s="12"/>
      <c r="T53" s="12">
        <v>1</v>
      </c>
      <c r="U53" s="35">
        <v>80</v>
      </c>
      <c r="V53" s="36">
        <f t="shared" si="8"/>
        <v>11.2758</v>
      </c>
      <c r="W53" s="45">
        <f t="shared" si="9"/>
        <v>11.28</v>
      </c>
      <c r="X53" s="40"/>
      <c r="Y53" s="40"/>
      <c r="Z53" s="53"/>
      <c r="AA53" s="10">
        <v>0.2</v>
      </c>
      <c r="AB53" s="40"/>
      <c r="AC53" s="10" t="s">
        <v>307</v>
      </c>
      <c r="AD53" s="14" t="s">
        <v>282</v>
      </c>
      <c r="AE53" s="50" t="s">
        <v>45</v>
      </c>
      <c r="AF53" s="51">
        <f t="shared" si="7"/>
        <v>76.4602</v>
      </c>
    </row>
    <row r="54" s="2" customFormat="1" ht="42" customHeight="1" spans="1:32">
      <c r="A54" s="10" t="s">
        <v>308</v>
      </c>
      <c r="B54" s="11" t="s">
        <v>309</v>
      </c>
      <c r="C54" s="12" t="s">
        <v>285</v>
      </c>
      <c r="D54" s="13"/>
      <c r="E54" s="14" t="s">
        <v>310</v>
      </c>
      <c r="F54" s="12" t="s">
        <v>34</v>
      </c>
      <c r="G54" s="12" t="s">
        <v>311</v>
      </c>
      <c r="H54" s="10">
        <v>8466200090</v>
      </c>
      <c r="I54" s="10">
        <v>84662090</v>
      </c>
      <c r="J54" s="23" t="s">
        <v>312</v>
      </c>
      <c r="K54" s="23"/>
      <c r="L54" s="12" t="s">
        <v>313</v>
      </c>
      <c r="M54" s="18" t="s">
        <v>34</v>
      </c>
      <c r="N54" s="18" t="s">
        <v>34</v>
      </c>
      <c r="O54" s="24">
        <v>46259</v>
      </c>
      <c r="P54" s="18" t="s">
        <v>39</v>
      </c>
      <c r="Q54" s="12" t="s">
        <v>40</v>
      </c>
      <c r="R54" s="34"/>
      <c r="S54" s="12"/>
      <c r="T54" s="12">
        <v>15</v>
      </c>
      <c r="U54" s="35">
        <v>300</v>
      </c>
      <c r="V54" s="36">
        <f t="shared" si="8"/>
        <v>42.2843</v>
      </c>
      <c r="W54" s="45">
        <f t="shared" si="9"/>
        <v>634.26</v>
      </c>
      <c r="X54" s="46" t="s">
        <v>314</v>
      </c>
      <c r="Y54" s="46">
        <v>2</v>
      </c>
      <c r="Z54" s="55">
        <v>24.57</v>
      </c>
      <c r="AA54" s="10">
        <v>22.97</v>
      </c>
      <c r="AB54" s="46" t="s">
        <v>315</v>
      </c>
      <c r="AC54" s="10" t="s">
        <v>316</v>
      </c>
      <c r="AD54" s="14" t="s">
        <v>317</v>
      </c>
      <c r="AE54" s="50" t="s">
        <v>45</v>
      </c>
      <c r="AF54" s="51">
        <f t="shared" si="7"/>
        <v>286.7257</v>
      </c>
    </row>
    <row r="55" s="1" customFormat="1" ht="46" customHeight="1" spans="1:34">
      <c r="A55" s="10" t="s">
        <v>318</v>
      </c>
      <c r="B55" s="21" t="s">
        <v>319</v>
      </c>
      <c r="C55" s="10" t="s">
        <v>320</v>
      </c>
      <c r="D55" s="9"/>
      <c r="E55" s="14" t="s">
        <v>321</v>
      </c>
      <c r="F55" s="11" t="s">
        <v>34</v>
      </c>
      <c r="G55" s="14" t="s">
        <v>322</v>
      </c>
      <c r="H55" s="10">
        <v>4821100000</v>
      </c>
      <c r="I55" s="10">
        <v>48211090</v>
      </c>
      <c r="J55" s="27" t="s">
        <v>323</v>
      </c>
      <c r="K55" s="13"/>
      <c r="L55" s="12" t="s">
        <v>324</v>
      </c>
      <c r="M55" s="12" t="s">
        <v>34</v>
      </c>
      <c r="N55" s="12" t="s">
        <v>34</v>
      </c>
      <c r="O55" s="24">
        <v>46269</v>
      </c>
      <c r="P55" s="12" t="s">
        <v>39</v>
      </c>
      <c r="Q55" s="12" t="s">
        <v>40</v>
      </c>
      <c r="R55" s="11"/>
      <c r="S55" s="11"/>
      <c r="T55" s="12">
        <v>1250</v>
      </c>
      <c r="U55" s="35">
        <v>9.8</v>
      </c>
      <c r="V55" s="36">
        <f t="shared" si="8"/>
        <v>1.3813</v>
      </c>
      <c r="W55" s="45">
        <f t="shared" si="9"/>
        <v>1726.63</v>
      </c>
      <c r="X55" s="47" t="s">
        <v>325</v>
      </c>
      <c r="Y55" s="46">
        <v>4</v>
      </c>
      <c r="Z55" s="55">
        <v>94</v>
      </c>
      <c r="AA55" s="37">
        <v>82</v>
      </c>
      <c r="AB55" s="46" t="s">
        <v>326</v>
      </c>
      <c r="AC55" s="12" t="s">
        <v>34</v>
      </c>
      <c r="AD55" s="14" t="s">
        <v>327</v>
      </c>
      <c r="AE55" s="14" t="s">
        <v>45</v>
      </c>
      <c r="AF55" s="51">
        <f t="shared" si="7"/>
        <v>9.3664</v>
      </c>
      <c r="AG55" s="2"/>
      <c r="AH55" s="2"/>
    </row>
    <row r="56" s="2" customFormat="1" ht="42" customHeight="1" spans="1:32">
      <c r="A56" s="10" t="s">
        <v>328</v>
      </c>
      <c r="B56" s="11" t="s">
        <v>329</v>
      </c>
      <c r="C56" s="12" t="s">
        <v>330</v>
      </c>
      <c r="D56" s="13"/>
      <c r="E56" s="14" t="s">
        <v>331</v>
      </c>
      <c r="F56" s="11" t="s">
        <v>34</v>
      </c>
      <c r="G56" s="11" t="s">
        <v>34</v>
      </c>
      <c r="H56" s="10">
        <v>9032899099</v>
      </c>
      <c r="I56" s="10">
        <v>90328939</v>
      </c>
      <c r="J56" s="27" t="s">
        <v>332</v>
      </c>
      <c r="K56" s="23"/>
      <c r="L56" s="12" t="s">
        <v>333</v>
      </c>
      <c r="M56" s="12" t="s">
        <v>79</v>
      </c>
      <c r="N56" s="32" t="s">
        <v>334</v>
      </c>
      <c r="O56" s="24">
        <v>46274</v>
      </c>
      <c r="P56" s="12" t="s">
        <v>39</v>
      </c>
      <c r="Q56" s="12" t="s">
        <v>40</v>
      </c>
      <c r="R56" s="34"/>
      <c r="S56" s="12"/>
      <c r="T56" s="12">
        <v>2</v>
      </c>
      <c r="U56" s="35">
        <v>1800</v>
      </c>
      <c r="V56" s="36">
        <f t="shared" si="8"/>
        <v>253.7058</v>
      </c>
      <c r="W56" s="37">
        <f t="shared" si="9"/>
        <v>507.41</v>
      </c>
      <c r="X56" s="46" t="s">
        <v>335</v>
      </c>
      <c r="Y56" s="46">
        <v>2</v>
      </c>
      <c r="Z56" s="55">
        <v>24.41</v>
      </c>
      <c r="AA56" s="10">
        <v>23.08</v>
      </c>
      <c r="AB56" s="46" t="s">
        <v>336</v>
      </c>
      <c r="AC56" s="10" t="s">
        <v>337</v>
      </c>
      <c r="AD56" s="14" t="s">
        <v>338</v>
      </c>
      <c r="AE56" s="14" t="s">
        <v>45</v>
      </c>
      <c r="AF56" s="36">
        <f t="shared" si="7"/>
        <v>1720.354</v>
      </c>
    </row>
    <row r="57" customHeight="1" spans="20:27">
      <c r="T57" s="2">
        <f>SUM(T2:T56)</f>
        <v>1669</v>
      </c>
      <c r="W57" s="6">
        <f>SUM(W2:W56)</f>
        <v>6347.93</v>
      </c>
      <c r="Y57" s="3">
        <f>SUM(Y2:Y56)</f>
        <v>16</v>
      </c>
      <c r="Z57" s="3">
        <f>SUM(Z2:Z56)</f>
        <v>223.37</v>
      </c>
      <c r="AA57" s="3">
        <f>SUM(AA2:AA56)</f>
        <v>200.17</v>
      </c>
    </row>
  </sheetData>
  <autoFilter ref="A1:AF57">
    <extLst/>
  </autoFilter>
  <mergeCells count="28">
    <mergeCell ref="X2:X5"/>
    <mergeCell ref="X6:X24"/>
    <mergeCell ref="X25:X26"/>
    <mergeCell ref="X27:X44"/>
    <mergeCell ref="X46:X48"/>
    <mergeCell ref="X49:X51"/>
    <mergeCell ref="X52:X53"/>
    <mergeCell ref="Y2:Y5"/>
    <mergeCell ref="Y6:Y24"/>
    <mergeCell ref="Y25:Y26"/>
    <mergeCell ref="Y27:Y44"/>
    <mergeCell ref="Y46:Y48"/>
    <mergeCell ref="Y49:Y51"/>
    <mergeCell ref="Y52:Y53"/>
    <mergeCell ref="Z2:Z5"/>
    <mergeCell ref="Z6:Z24"/>
    <mergeCell ref="Z25:Z26"/>
    <mergeCell ref="Z27:Z44"/>
    <mergeCell ref="Z46:Z48"/>
    <mergeCell ref="Z49:Z51"/>
    <mergeCell ref="Z52:Z53"/>
    <mergeCell ref="AB2:AB5"/>
    <mergeCell ref="AB6:AB24"/>
    <mergeCell ref="AB25:AB26"/>
    <mergeCell ref="AB27:AB44"/>
    <mergeCell ref="AB46:AB48"/>
    <mergeCell ref="AB49:AB51"/>
    <mergeCell ref="AB52:AB53"/>
  </mergeCells>
  <pageMargins left="0.118055555555556" right="0.0777777777777778" top="0.747916666666667" bottom="0.747916666666667" header="0.313888888888889" footer="0.313888888888889"/>
  <pageSetup paperSize="8" scale="75" orientation="portrait" horizontalDpi="6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M20260903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MSD03</cp:lastModifiedBy>
  <dcterms:created xsi:type="dcterms:W3CDTF">2021-07-22T02:15:00Z</dcterms:created>
  <cp:lastPrinted>2021-07-22T06:54:00Z</cp:lastPrinted>
  <dcterms:modified xsi:type="dcterms:W3CDTF">2026-09-10T03:02:09Z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32E530A07348413A93F892F513E3A704</vt:lpwstr>
  </property>
</Properties>
</file>