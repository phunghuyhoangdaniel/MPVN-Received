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990"/>
  </bookViews>
  <sheets>
    <sheet name="M20260507" sheetId="11" r:id="rId1"/>
  </sheets>
  <definedNames>
    <definedName name="_xlnm._FilterDatabase" localSheetId="0" hidden="1">M20260507!$A$1:$AF$3</definedName>
  </definedNames>
  <calcPr calcId="144525" concurrentCalc="0"/>
</workbook>
</file>

<file path=xl/sharedStrings.xml><?xml version="1.0" encoding="utf-8"?>
<sst xmlns="http://schemas.openxmlformats.org/spreadsheetml/2006/main" count="51" uniqueCount="48">
  <si>
    <t>1) ENGLISH ITEM NAME
 (ex : OOOO machine)</t>
  </si>
  <si>
    <r>
      <rPr>
        <b/>
        <sz val="12"/>
        <color rgb="FF000000"/>
        <rFont val="Arial"/>
        <charset val="134"/>
      </rPr>
      <t>2)</t>
    </r>
    <r>
      <rPr>
        <b/>
        <sz val="12"/>
        <color rgb="FF000000"/>
        <rFont val="楷体"/>
        <charset val="134"/>
      </rPr>
      <t>中文名称</t>
    </r>
  </si>
  <si>
    <t>3) MANUFACTUROR
(ex : OOO company)</t>
  </si>
  <si>
    <r>
      <rPr>
        <b/>
        <sz val="12"/>
        <color rgb="FF000000"/>
        <rFont val="楷体"/>
        <charset val="134"/>
      </rPr>
      <t>品牌</t>
    </r>
  </si>
  <si>
    <t>4) MODEL NO 
(ex : abc-123)</t>
  </si>
  <si>
    <t>MOLD NO</t>
  </si>
  <si>
    <t>5)Serial number</t>
  </si>
  <si>
    <t>6)CN hs code</t>
  </si>
  <si>
    <t>7)VN hs code</t>
  </si>
  <si>
    <r>
      <rPr>
        <b/>
        <sz val="12"/>
        <color rgb="FF000000"/>
        <rFont val="楷体"/>
        <charset val="134"/>
      </rPr>
      <t>申报要素</t>
    </r>
  </si>
  <si>
    <t>材质中文名称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</si>
  <si>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</si>
  <si>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</si>
  <si>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</si>
  <si>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</si>
  <si>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</si>
  <si>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</si>
  <si>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</si>
  <si>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</si>
  <si>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</si>
  <si>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</si>
  <si>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</si>
  <si>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</si>
  <si>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</si>
  <si>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</si>
  <si>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</si>
  <si>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</si>
  <si>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</si>
  <si>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r>
      <rPr>
        <b/>
        <sz val="12"/>
        <color rgb="FF000000"/>
        <rFont val="Arial"/>
        <charset val="134"/>
      </rPr>
      <t>25)Part size</t>
    </r>
    <r>
      <rPr>
        <b/>
        <sz val="12"/>
        <color rgb="FF000000"/>
        <rFont val="宋体"/>
        <charset val="134"/>
      </rPr>
      <t>（</t>
    </r>
    <r>
      <rPr>
        <b/>
        <sz val="12"/>
        <color rgb="FF000000"/>
        <rFont val="Arial"/>
        <charset val="134"/>
      </rPr>
      <t>CM)</t>
    </r>
  </si>
  <si>
    <r>
      <rPr>
        <b/>
        <sz val="12"/>
        <color rgb="FF000000"/>
        <rFont val="Arial"/>
        <charset val="134"/>
      </rPr>
      <t>26)</t>
    </r>
    <r>
      <rPr>
        <b/>
        <sz val="12"/>
        <color rgb="FF000000"/>
        <rFont val="楷体"/>
        <charset val="134"/>
      </rPr>
      <t>应用范围</t>
    </r>
  </si>
  <si>
    <r>
      <rPr>
        <b/>
        <sz val="12"/>
        <color rgb="FF000000"/>
        <rFont val="Arial"/>
        <charset val="134"/>
      </rPr>
      <t>27)</t>
    </r>
    <r>
      <rPr>
        <b/>
        <sz val="12"/>
        <color rgb="FF000000"/>
        <rFont val="楷体"/>
        <charset val="134"/>
      </rPr>
      <t>是否带电源</t>
    </r>
  </si>
  <si>
    <r>
      <rPr>
        <b/>
        <sz val="12"/>
        <color rgb="FFFF0000"/>
        <rFont val="Arial"/>
        <charset val="134"/>
      </rPr>
      <t>PR</t>
    </r>
    <r>
      <rPr>
        <b/>
        <sz val="12"/>
        <color rgb="FFFF0000"/>
        <rFont val="楷体"/>
        <charset val="134"/>
      </rPr>
      <t>单价</t>
    </r>
  </si>
  <si>
    <t>GLUE NAIL MACHINE</t>
  </si>
  <si>
    <t>胶钉机</t>
  </si>
  <si>
    <t>AVERY DENNISON (GUANGZHOU) CONVERTED PRODUCTS CO.,LTD.</t>
  </si>
  <si>
    <t>11601-K3</t>
  </si>
  <si>
    <t>/</t>
  </si>
  <si>
    <t>3|1|将弹性胶钉固定于产品与纸卡，实现运输保护和展示|AVERY DENNISO牌|11601-K3型</t>
  </si>
  <si>
    <t>铝合金、网纱</t>
  </si>
  <si>
    <t>AL+STEEL</t>
  </si>
  <si>
    <t>2026.4.9</t>
  </si>
  <si>
    <t>CHINA</t>
  </si>
  <si>
    <t>NEW</t>
  </si>
  <si>
    <t>S1-1/3
S1-2/3
S1-3/3
S2-1/3
S2-2/3
S2-3/3
S3-1/3
S3-2/3
S3-3/3</t>
  </si>
  <si>
    <t>主机61*38*26*3
支架77*47*18*3
底座76*55*7*3</t>
  </si>
  <si>
    <r>
      <t>主机</t>
    </r>
    <r>
      <rPr>
        <sz val="10"/>
        <rFont val="Arial"/>
        <charset val="134"/>
      </rPr>
      <t xml:space="preserve">32*20*50*3
</t>
    </r>
    <r>
      <rPr>
        <sz val="10"/>
        <rFont val="宋体"/>
        <charset val="134"/>
      </rPr>
      <t>支架</t>
    </r>
    <r>
      <rPr>
        <sz val="10"/>
        <rFont val="Arial"/>
        <charset val="134"/>
      </rPr>
      <t xml:space="preserve">40*20*70*3
</t>
    </r>
    <r>
      <rPr>
        <sz val="10"/>
        <rFont val="宋体"/>
        <charset val="134"/>
      </rPr>
      <t>底座</t>
    </r>
    <r>
      <rPr>
        <sz val="10"/>
        <rFont val="Arial"/>
        <charset val="134"/>
      </rPr>
      <t>50*70*4*3</t>
    </r>
  </si>
  <si>
    <t>PACK THE CABLE TIE HOST</t>
  </si>
  <si>
    <t>NO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</si>
</sst>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00_ "/>
    <numFmt numFmtId="43" formatCode="_ * #,##0.00_ ;_ * \-#,##0.00_ ;_ * &quot;-&quot;??_ ;_ @_ "/>
    <numFmt numFmtId="177" formatCode="0.00_ "/>
    <numFmt numFmtId="178" formatCode="0_ "/>
    <numFmt numFmtId="179" formatCode="yyyy/m/d;@"/>
  </numFmts>
  <fonts count="33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0"/>
      <name val="Arial"/>
      <charset val="134"/>
    </font>
    <font>
      <b/>
      <sz val="12"/>
      <color rgb="FF000000"/>
      <name val="Arial"/>
      <charset val="134"/>
    </font>
    <font>
      <sz val="10"/>
      <name val="新宋体"/>
      <charset val="134"/>
    </font>
    <font>
      <sz val="10"/>
      <name val="宋体"/>
      <charset val="134"/>
    </font>
    <font>
      <b/>
      <sz val="12"/>
      <color rgb="FF000000"/>
      <name val="楷体"/>
      <charset val="134"/>
    </font>
    <font>
      <sz val="10"/>
      <color rgb="FF000000"/>
      <name val="Arial"/>
      <charset val="134"/>
    </font>
    <font>
      <sz val="10"/>
      <name val="Arial"/>
      <charset val="0"/>
    </font>
    <font>
      <b/>
      <sz val="12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name val="Arial"/>
      <charset val="1"/>
    </font>
    <font>
      <b/>
      <sz val="12"/>
      <color rgb="FF000000"/>
      <name val="宋体"/>
      <charset val="134"/>
    </font>
    <font>
      <b/>
      <sz val="12"/>
      <color rgb="FFFF0000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16" borderId="6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7" fillId="6" borderId="8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28" fillId="25" borderId="9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30" fillId="0" borderId="0"/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178" fontId="5" fillId="0" borderId="1" xfId="0" applyNumberFormat="1" applyFont="1" applyFill="1" applyBorder="1" applyAlignment="1">
      <alignment horizontal="left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178" fontId="7" fillId="0" borderId="2" xfId="0" applyNumberFormat="1" applyFont="1" applyBorder="1" applyAlignment="1">
      <alignment horizontal="left" vertical="center" wrapText="1"/>
    </xf>
    <xf numFmtId="178" fontId="2" fillId="0" borderId="1" xfId="0" applyNumberFormat="1" applyFont="1" applyFill="1" applyBorder="1" applyAlignment="1">
      <alignment horizontal="left" vertical="center" wrapText="1"/>
    </xf>
    <xf numFmtId="179" fontId="2" fillId="0" borderId="1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vertical="center" wrapText="1"/>
    </xf>
    <xf numFmtId="178" fontId="2" fillId="0" borderId="1" xfId="0" applyNumberFormat="1" applyFont="1" applyFill="1" applyBorder="1" applyAlignment="1">
      <alignment horizontal="left" vertical="center" wrapText="1"/>
    </xf>
    <xf numFmtId="176" fontId="8" fillId="0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 wrapText="1"/>
    </xf>
    <xf numFmtId="178" fontId="9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_Phieu thu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450850</xdr:colOff>
      <xdr:row>1</xdr:row>
      <xdr:rowOff>101600</xdr:rowOff>
    </xdr:from>
    <xdr:to>
      <xdr:col>17</xdr:col>
      <xdr:colOff>709930</xdr:colOff>
      <xdr:row>1</xdr:row>
      <xdr:rowOff>237490</xdr:rowOff>
    </xdr:to>
    <xdr:pic>
      <xdr:nvPicPr>
        <xdr:cNvPr id="4" name="图片 3" descr="IMG_20250703_14325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3823295" y="685800"/>
          <a:ext cx="259080" cy="135890"/>
        </a:xfrm>
        <a:prstGeom prst="rect">
          <a:avLst/>
        </a:prstGeom>
      </xdr:spPr>
    </xdr:pic>
    <xdr:clientData/>
  </xdr:twoCellAnchor>
  <xdr:twoCellAnchor editAs="oneCell">
    <xdr:from>
      <xdr:col>17</xdr:col>
      <xdr:colOff>762635</xdr:colOff>
      <xdr:row>1</xdr:row>
      <xdr:rowOff>129540</xdr:rowOff>
    </xdr:from>
    <xdr:to>
      <xdr:col>17</xdr:col>
      <xdr:colOff>1019810</xdr:colOff>
      <xdr:row>1</xdr:row>
      <xdr:rowOff>280670</xdr:rowOff>
    </xdr:to>
    <xdr:pic>
      <xdr:nvPicPr>
        <xdr:cNvPr id="5" name="图片 4" descr="IMG_20250703_14264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4135080" y="713740"/>
          <a:ext cx="257175" cy="151130"/>
        </a:xfrm>
        <a:prstGeom prst="rect">
          <a:avLst/>
        </a:prstGeom>
      </xdr:spPr>
    </xdr:pic>
    <xdr:clientData/>
  </xdr:twoCellAnchor>
  <xdr:twoCellAnchor editAs="oneCell">
    <xdr:from>
      <xdr:col>17</xdr:col>
      <xdr:colOff>67310</xdr:colOff>
      <xdr:row>1</xdr:row>
      <xdr:rowOff>53340</xdr:rowOff>
    </xdr:from>
    <xdr:to>
      <xdr:col>17</xdr:col>
      <xdr:colOff>321945</xdr:colOff>
      <xdr:row>1</xdr:row>
      <xdr:rowOff>318770</xdr:rowOff>
    </xdr:to>
    <xdr:pic>
      <xdr:nvPicPr>
        <xdr:cNvPr id="6" name="图片 5" descr="IMG_20250703_161525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3439755" y="637540"/>
          <a:ext cx="254635" cy="265430"/>
        </a:xfrm>
        <a:prstGeom prst="rect">
          <a:avLst/>
        </a:prstGeom>
      </xdr:spPr>
    </xdr:pic>
    <xdr:clientData/>
  </xdr:twoCellAnchor>
  <xdr:twoCellAnchor editAs="oneCell">
    <xdr:from>
      <xdr:col>18</xdr:col>
      <xdr:colOff>835660</xdr:colOff>
      <xdr:row>1</xdr:row>
      <xdr:rowOff>98425</xdr:rowOff>
    </xdr:from>
    <xdr:to>
      <xdr:col>18</xdr:col>
      <xdr:colOff>1438275</xdr:colOff>
      <xdr:row>1</xdr:row>
      <xdr:rowOff>426720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293955" y="682625"/>
          <a:ext cx="602615" cy="3282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showGridLines="0" tabSelected="1" workbookViewId="0">
      <pane xSplit="2" topLeftCell="E1" activePane="topRight" state="frozen"/>
      <selection/>
      <selection pane="topRight" activeCell="J3" sqref="J3"/>
    </sheetView>
  </sheetViews>
  <sheetFormatPr defaultColWidth="9" defaultRowHeight="36" customHeight="1" outlineLevelRow="2"/>
  <cols>
    <col min="1" max="1" width="26.875" style="3" customWidth="1"/>
    <col min="2" max="2" width="17.75" style="2" customWidth="1"/>
    <col min="3" max="3" width="36.7333333333333" style="2" customWidth="1"/>
    <col min="4" max="4" width="9.01666666666667" style="2" hidden="1" customWidth="1"/>
    <col min="5" max="5" width="20.375" style="2" customWidth="1"/>
    <col min="6" max="6" width="14.625" style="2" customWidth="1"/>
    <col min="7" max="7" width="20.125" style="4" customWidth="1"/>
    <col min="8" max="8" width="13.525" style="4" customWidth="1"/>
    <col min="9" max="9" width="12.625" style="4" customWidth="1"/>
    <col min="10" max="10" width="49.25" style="4" customWidth="1"/>
    <col min="11" max="11" width="17.125" style="4" hidden="1" customWidth="1"/>
    <col min="12" max="12" width="22.9333333333333" style="4" customWidth="1"/>
    <col min="13" max="14" width="14.1333333333333" style="2" customWidth="1"/>
    <col min="15" max="15" width="12" style="2" customWidth="1"/>
    <col min="16" max="16" width="15.8833333333333" style="2" customWidth="1"/>
    <col min="17" max="17" width="15.7583333333333" style="2" customWidth="1"/>
    <col min="18" max="18" width="14.25" style="2" customWidth="1"/>
    <col min="19" max="19" width="28.75" style="2" customWidth="1"/>
    <col min="20" max="20" width="14.2666666666667" style="2" customWidth="1"/>
    <col min="21" max="22" width="16.425" style="5" customWidth="1"/>
    <col min="23" max="23" width="15" style="6" customWidth="1"/>
    <col min="24" max="24" width="17" style="3" customWidth="1"/>
    <col min="25" max="25" width="10.625" style="3" customWidth="1"/>
    <col min="26" max="26" width="11.625" style="7" customWidth="1"/>
    <col min="27" max="27" width="11.625" style="6" customWidth="1"/>
    <col min="28" max="28" width="19.625" style="3" customWidth="1"/>
    <col min="29" max="29" width="18.125" style="2" customWidth="1"/>
    <col min="30" max="30" width="22.9166666666667" style="2" customWidth="1"/>
    <col min="31" max="31" width="17" style="2" customWidth="1"/>
    <col min="32" max="32" width="11.4666666666667" style="2" customWidth="1"/>
    <col min="33" max="33" width="14.875" style="2"/>
    <col min="34" max="16384" width="9" style="2"/>
  </cols>
  <sheetData>
    <row r="1" s="1" customFormat="1" ht="46" customHeight="1" spans="1:3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4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8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24" t="s">
        <v>31</v>
      </c>
    </row>
    <row r="2" s="2" customFormat="1" ht="42" customHeight="1" spans="1:32">
      <c r="A2" s="10" t="s">
        <v>32</v>
      </c>
      <c r="B2" s="11" t="s">
        <v>33</v>
      </c>
      <c r="C2" s="12" t="s">
        <v>34</v>
      </c>
      <c r="D2" s="13"/>
      <c r="E2" s="12" t="s">
        <v>35</v>
      </c>
      <c r="F2" s="12" t="s">
        <v>36</v>
      </c>
      <c r="G2" s="12" t="s">
        <v>36</v>
      </c>
      <c r="H2" s="10">
        <v>8440102000</v>
      </c>
      <c r="I2" s="10">
        <v>84401010</v>
      </c>
      <c r="J2" s="15" t="s">
        <v>37</v>
      </c>
      <c r="K2" s="13" t="s">
        <v>38</v>
      </c>
      <c r="L2" s="16" t="s">
        <v>39</v>
      </c>
      <c r="M2" s="16" t="s">
        <v>36</v>
      </c>
      <c r="N2" s="16" t="s">
        <v>36</v>
      </c>
      <c r="O2" s="17" t="s">
        <v>40</v>
      </c>
      <c r="P2" s="16" t="s">
        <v>41</v>
      </c>
      <c r="Q2" s="16" t="s">
        <v>42</v>
      </c>
      <c r="R2" s="19"/>
      <c r="S2" s="16"/>
      <c r="T2" s="20">
        <v>3</v>
      </c>
      <c r="U2" s="21">
        <v>18010</v>
      </c>
      <c r="V2" s="22">
        <f>ROUND(U2/1.13*1.08/6.8628,4)</f>
        <v>2508.1741</v>
      </c>
      <c r="W2" s="23">
        <f>ROUND(V2*T2,2)</f>
        <v>7524.52</v>
      </c>
      <c r="X2" s="19" t="s">
        <v>43</v>
      </c>
      <c r="Y2" s="25">
        <v>9</v>
      </c>
      <c r="Z2" s="26">
        <v>86.37</v>
      </c>
      <c r="AA2" s="27">
        <v>72.12</v>
      </c>
      <c r="AB2" s="28" t="s">
        <v>44</v>
      </c>
      <c r="AC2" s="29" t="s">
        <v>45</v>
      </c>
      <c r="AD2" s="12" t="s">
        <v>46</v>
      </c>
      <c r="AE2" s="30" t="s">
        <v>47</v>
      </c>
      <c r="AF2" s="22">
        <f>ROUND(U2/1.03*1.08,4)</f>
        <v>18884.2718</v>
      </c>
    </row>
    <row r="3" customHeight="1" spans="20:27">
      <c r="T3" s="2">
        <f>SUM(T2:T2)</f>
        <v>3</v>
      </c>
      <c r="W3" s="6">
        <f>SUM(W2:W2)</f>
        <v>7524.52</v>
      </c>
      <c r="Y3" s="3">
        <f>SUM(Y2:Y2)</f>
        <v>9</v>
      </c>
      <c r="Z3" s="3">
        <f>SUM(Z2:Z2)</f>
        <v>86.37</v>
      </c>
      <c r="AA3" s="2">
        <f>SUM(AA2:AA2)</f>
        <v>72.12</v>
      </c>
    </row>
  </sheetData>
  <autoFilter ref="A1:AF3">
    <extLst/>
  </autoFilter>
  <pageMargins left="0.118055555555556" right="0.0777777777777778" top="0.747916666666667" bottom="0.747916666666667" header="0.313888888888889" footer="0.313888888888889"/>
  <pageSetup paperSize="8" scale="75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M20260507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MSD03</cp:lastModifiedBy>
  <dcterms:created xsi:type="dcterms:W3CDTF">2021-07-22T02:15:00Z</dcterms:created>
  <cp:lastPrinted>2021-07-22T06:54:00Z</cp:lastPrinted>
  <dcterms:modified xsi:type="dcterms:W3CDTF">2026-05-29T02:37:36Z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8AB71097D07D4AD1872569C7738B11D5</vt:lpwstr>
  </property>
</Properties>
</file>