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95" windowHeight="13050"/>
  </bookViews>
  <sheets>
    <sheet name="listing" sheetId="11" r:id="rId1"/>
    <sheet name="listing (2)" sheetId="12" state="hidden" r:id="rId2"/>
  </sheets>
  <definedNames>
    <definedName name="_xlnm.Print_Area" localSheetId="1">'listing (2)'!$A$1:$R$4</definedName>
  </definedNames>
  <calcPr calcId="144525" concurrentCalc="0"/>
</workbook>
</file>

<file path=xl/sharedStrings.xml><?xml version="1.0" encoding="utf-8"?>
<sst xmlns="http://schemas.openxmlformats.org/spreadsheetml/2006/main" count="45">
  <si>
    <t>1) ENGLISH ITEM NAME
 (ex : OOOO machine)</t>
  </si>
  <si>
    <t>2)中文名称</t>
  </si>
  <si>
    <t>3) MANUFACTUROR
(ex : OOO company)</t>
  </si>
  <si>
    <t>4) MODEL NO 
(ex : abc-123)</t>
  </si>
  <si>
    <t>5)Serial number</t>
  </si>
  <si>
    <t>6)CN hs code</t>
  </si>
  <si>
    <t>7)VN hs code</t>
  </si>
  <si>
    <t xml:space="preserve">8)Material </t>
  </si>
  <si>
    <t>9) VOLTAGE 
(ex : 220V)</t>
  </si>
  <si>
    <t>10) CAPACITY 
(ex :1200KW)</t>
  </si>
  <si>
    <t>11) Manufacture date
(yyyy-mm-dd)</t>
  </si>
  <si>
    <t>12) ORIGIN</t>
  </si>
  <si>
    <t>13) NEW or 
USED</t>
  </si>
  <si>
    <t>14) PICTURE
(BEFORE PACKING)</t>
  </si>
  <si>
    <t>15) PICTURE
(NAME PLATE or label)</t>
  </si>
  <si>
    <t>16)Quantity</t>
  </si>
  <si>
    <t>17)cost(RMB 13%VAT)</t>
  </si>
  <si>
    <t>Total cost(RMB 13%VAT)</t>
  </si>
  <si>
    <t>18)cost(USD)</t>
  </si>
  <si>
    <t>19)Total cost(USD)</t>
  </si>
  <si>
    <t>20)CARTON NO.</t>
  </si>
  <si>
    <t>21)CTN QTY</t>
  </si>
  <si>
    <t>22)G.W(KGS)</t>
  </si>
  <si>
    <t>23)N.W(KGS)</t>
  </si>
  <si>
    <t>24)Package Size(CM)</t>
  </si>
  <si>
    <t>25)Part size(CM)</t>
  </si>
  <si>
    <t>26)应用范围</t>
  </si>
  <si>
    <t>27)是否带电源</t>
  </si>
  <si>
    <r>
      <rPr>
        <sz val="12"/>
        <rFont val="新宋体"/>
        <charset val="134"/>
      </rPr>
      <t>s</t>
    </r>
    <r>
      <rPr>
        <sz val="12"/>
        <rFont val="新宋体"/>
        <charset val="134"/>
      </rPr>
      <t>peaker</t>
    </r>
  </si>
  <si>
    <t>音箱</t>
  </si>
  <si>
    <t>Techsen Electronics(ShenZhen)Co.,Ltd</t>
  </si>
  <si>
    <t>KTN-AIR样板机(包装好)</t>
  </si>
  <si>
    <t>KTN-AIR SAMPLE C01</t>
  </si>
  <si>
    <r>
      <rPr>
        <sz val="10"/>
        <color theme="1"/>
        <rFont val="新宋体"/>
        <charset val="134"/>
      </rPr>
      <t>木材+铁</t>
    </r>
    <r>
      <rPr>
        <sz val="10"/>
        <color theme="1"/>
        <rFont val="新宋体"/>
        <charset val="134"/>
      </rPr>
      <t>+电子料</t>
    </r>
  </si>
  <si>
    <r>
      <rPr>
        <sz val="11"/>
        <color theme="1"/>
        <rFont val="新宋体"/>
        <charset val="134"/>
      </rPr>
      <t>1</t>
    </r>
    <r>
      <rPr>
        <sz val="11"/>
        <color theme="1"/>
        <rFont val="新宋体"/>
        <charset val="134"/>
      </rPr>
      <t>2V</t>
    </r>
  </si>
  <si>
    <r>
      <rPr>
        <sz val="11"/>
        <color theme="1"/>
        <rFont val="新宋体"/>
        <charset val="134"/>
      </rPr>
      <t>3</t>
    </r>
    <r>
      <rPr>
        <sz val="11"/>
        <color theme="1"/>
        <rFont val="新宋体"/>
        <charset val="134"/>
      </rPr>
      <t>0W</t>
    </r>
  </si>
  <si>
    <t>2024.05.16</t>
  </si>
  <si>
    <t>China</t>
  </si>
  <si>
    <t>NEW</t>
  </si>
  <si>
    <t>C5</t>
  </si>
  <si>
    <t>50X28X44</t>
  </si>
  <si>
    <t>40X24X26</t>
  </si>
  <si>
    <t>SAMPLE</t>
  </si>
  <si>
    <t>YES</t>
  </si>
  <si>
    <t>C6</t>
  </si>
</sst>
</file>

<file path=xl/styles.xml><?xml version="1.0" encoding="utf-8"?>
<styleSheet xmlns="http://schemas.openxmlformats.org/spreadsheetml/2006/main">
  <numFmts count="6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176" formatCode="0_ "/>
    <numFmt numFmtId="177" formatCode="_ * #,##0_ ;_ * \-#,##0_ ;_ * &quot;-&quot;??_ ;_ @_ "/>
  </numFmts>
  <fonts count="31">
    <font>
      <sz val="11"/>
      <color theme="1"/>
      <name val="宋体"/>
      <charset val="134"/>
      <scheme val="minor"/>
    </font>
    <font>
      <sz val="11"/>
      <color theme="1"/>
      <name val="楷体"/>
      <charset val="134"/>
    </font>
    <font>
      <sz val="11"/>
      <color theme="1"/>
      <name val="新宋体"/>
      <charset val="134"/>
    </font>
    <font>
      <sz val="12"/>
      <color theme="1"/>
      <name val="楷体"/>
      <charset val="134"/>
    </font>
    <font>
      <b/>
      <sz val="11"/>
      <color rgb="FF000000"/>
      <name val="楷体"/>
      <charset val="134"/>
    </font>
    <font>
      <b/>
      <sz val="11"/>
      <color theme="1"/>
      <name val="楷体"/>
      <charset val="134"/>
    </font>
    <font>
      <b/>
      <sz val="11"/>
      <color rgb="FFFF0000"/>
      <name val="楷体"/>
      <charset val="134"/>
    </font>
    <font>
      <sz val="12"/>
      <name val="新宋体"/>
      <charset val="134"/>
    </font>
    <font>
      <sz val="12"/>
      <color theme="1"/>
      <name val="宋体"/>
      <charset val="134"/>
    </font>
    <font>
      <sz val="10"/>
      <color theme="1"/>
      <name val="新宋体"/>
      <charset val="134"/>
    </font>
    <font>
      <b/>
      <sz val="11"/>
      <name val="楷体"/>
      <charset val="134"/>
    </font>
    <font>
      <sz val="10"/>
      <name val="新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5" fillId="18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30" borderId="6" applyNumberFormat="0" applyFont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0" fillId="29" borderId="5" applyNumberFormat="0" applyAlignment="0" applyProtection="0">
      <alignment vertical="center"/>
    </xf>
    <xf numFmtId="0" fontId="24" fillId="29" borderId="3" applyNumberFormat="0" applyAlignment="0" applyProtection="0">
      <alignment vertical="center"/>
    </xf>
    <xf numFmtId="0" fontId="14" fillId="17" borderId="2" applyNumberFormat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right" vertical="center"/>
    </xf>
    <xf numFmtId="0" fontId="1" fillId="0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176" fontId="4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4" fontId="8" fillId="0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 wrapText="1"/>
    </xf>
    <xf numFmtId="176" fontId="10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177" fontId="1" fillId="0" borderId="1" xfId="8" applyNumberFormat="1" applyFont="1" applyFill="1" applyBorder="1" applyAlignment="1">
      <alignment horizontal="right" vertical="center"/>
    </xf>
    <xf numFmtId="177" fontId="1" fillId="0" borderId="0" xfId="8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0" fontId="7" fillId="0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279153</xdr:colOff>
      <xdr:row>1</xdr:row>
      <xdr:rowOff>0</xdr:rowOff>
    </xdr:from>
    <xdr:to>
      <xdr:col>14</xdr:col>
      <xdr:colOff>1879353</xdr:colOff>
      <xdr:row>1</xdr:row>
      <xdr:rowOff>914400</xdr:rowOff>
    </xdr:to>
    <xdr:pic>
      <xdr:nvPicPr>
        <xdr:cNvPr id="4" name="Picture 9"/>
        <xdr:cNvPicPr>
          <a:picLocks noChangeAspect="1" noChangeArrowheads="1"/>
        </xdr:cNvPicPr>
      </xdr:nvPicPr>
      <xdr:blipFill>
        <a:blip r:embed="rId1"/>
        <a:srcRect l="4763" t="26194" r="76515" b="55565"/>
        <a:stretch>
          <a:fillRect/>
        </a:stretch>
      </xdr:blipFill>
      <xdr:spPr>
        <a:xfrm>
          <a:off x="21309965" y="381000"/>
          <a:ext cx="1600200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190500</xdr:colOff>
      <xdr:row>1</xdr:row>
      <xdr:rowOff>0</xdr:rowOff>
    </xdr:from>
    <xdr:to>
      <xdr:col>13</xdr:col>
      <xdr:colOff>1889785</xdr:colOff>
      <xdr:row>1</xdr:row>
      <xdr:rowOff>968303</xdr:rowOff>
    </xdr:to>
    <xdr:pic>
      <xdr:nvPicPr>
        <xdr:cNvPr id="5" name="图片 4" descr="IMG_20240425_150458.jp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250025" y="381000"/>
          <a:ext cx="1699260" cy="967740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238125</xdr:colOff>
      <xdr:row>1</xdr:row>
      <xdr:rowOff>95250</xdr:rowOff>
    </xdr:from>
    <xdr:to>
      <xdr:col>14</xdr:col>
      <xdr:colOff>1895475</xdr:colOff>
      <xdr:row>1</xdr:row>
      <xdr:rowOff>1009650</xdr:rowOff>
    </xdr:to>
    <xdr:pic>
      <xdr:nvPicPr>
        <xdr:cNvPr id="6" name="Picture 9"/>
        <xdr:cNvPicPr>
          <a:picLocks noChangeAspect="1" noChangeArrowheads="1"/>
        </xdr:cNvPicPr>
      </xdr:nvPicPr>
      <xdr:blipFill>
        <a:blip r:embed="rId1"/>
        <a:srcRect l="27942" t="45540" r="54025" b="36772"/>
        <a:stretch>
          <a:fillRect/>
        </a:stretch>
      </xdr:blipFill>
      <xdr:spPr>
        <a:xfrm>
          <a:off x="21269325" y="476250"/>
          <a:ext cx="1657350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2</xdr:row>
      <xdr:rowOff>95250</xdr:rowOff>
    </xdr:from>
    <xdr:to>
      <xdr:col>14</xdr:col>
      <xdr:colOff>1895475</xdr:colOff>
      <xdr:row>2</xdr:row>
      <xdr:rowOff>1009650</xdr:rowOff>
    </xdr:to>
    <xdr:pic>
      <xdr:nvPicPr>
        <xdr:cNvPr id="7" name="Picture 9"/>
        <xdr:cNvPicPr>
          <a:picLocks noChangeAspect="1" noChangeArrowheads="1"/>
        </xdr:cNvPicPr>
      </xdr:nvPicPr>
      <xdr:blipFill>
        <a:blip r:embed="rId1"/>
        <a:srcRect l="27942" t="45540" r="54025" b="36772"/>
        <a:stretch>
          <a:fillRect/>
        </a:stretch>
      </xdr:blipFill>
      <xdr:spPr>
        <a:xfrm>
          <a:off x="21269325" y="1619250"/>
          <a:ext cx="1657350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149678</xdr:colOff>
      <xdr:row>1</xdr:row>
      <xdr:rowOff>81643</xdr:rowOff>
    </xdr:from>
    <xdr:to>
      <xdr:col>13</xdr:col>
      <xdr:colOff>1850572</xdr:colOff>
      <xdr:row>1</xdr:row>
      <xdr:rowOff>952500</xdr:rowOff>
    </xdr:to>
    <xdr:pic>
      <xdr:nvPicPr>
        <xdr:cNvPr id="8" name="图片 7" descr="IMG_20240425_145246.jpg"/>
        <xdr:cNvPicPr>
          <a:picLocks noChangeAspect="1"/>
        </xdr:cNvPicPr>
      </xdr:nvPicPr>
      <xdr:blipFill>
        <a:blip r:embed="rId3" cstate="print"/>
        <a:srcRect l="2781" t="6732" b="10869"/>
        <a:stretch>
          <a:fillRect/>
        </a:stretch>
      </xdr:blipFill>
      <xdr:spPr>
        <a:xfrm>
          <a:off x="19208750" y="462280"/>
          <a:ext cx="1701165" cy="871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163285</xdr:colOff>
      <xdr:row>2</xdr:row>
      <xdr:rowOff>149678</xdr:rowOff>
    </xdr:from>
    <xdr:to>
      <xdr:col>13</xdr:col>
      <xdr:colOff>1864179</xdr:colOff>
      <xdr:row>2</xdr:row>
      <xdr:rowOff>1020535</xdr:rowOff>
    </xdr:to>
    <xdr:pic>
      <xdr:nvPicPr>
        <xdr:cNvPr id="9" name="图片 8" descr="IMG_20240425_145246.jpg"/>
        <xdr:cNvPicPr>
          <a:picLocks noChangeAspect="1"/>
        </xdr:cNvPicPr>
      </xdr:nvPicPr>
      <xdr:blipFill>
        <a:blip r:embed="rId3" cstate="print"/>
        <a:srcRect l="2781" t="6732" b="10869"/>
        <a:stretch>
          <a:fillRect/>
        </a:stretch>
      </xdr:blipFill>
      <xdr:spPr>
        <a:xfrm>
          <a:off x="19222720" y="1673225"/>
          <a:ext cx="1700530" cy="8712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279153</xdr:colOff>
      <xdr:row>1</xdr:row>
      <xdr:rowOff>0</xdr:rowOff>
    </xdr:from>
    <xdr:to>
      <xdr:col>14</xdr:col>
      <xdr:colOff>1879353</xdr:colOff>
      <xdr:row>3</xdr:row>
      <xdr:rowOff>177800</xdr:rowOff>
    </xdr:to>
    <xdr:pic>
      <xdr:nvPicPr>
        <xdr:cNvPr id="2" name="Picture 9"/>
        <xdr:cNvPicPr>
          <a:picLocks noChangeAspect="1" noChangeArrowheads="1"/>
        </xdr:cNvPicPr>
      </xdr:nvPicPr>
      <xdr:blipFill>
        <a:blip r:embed="rId1"/>
        <a:srcRect l="4763" t="26194" r="76515" b="55565"/>
        <a:stretch>
          <a:fillRect/>
        </a:stretch>
      </xdr:blipFill>
      <xdr:spPr>
        <a:xfrm>
          <a:off x="22963505" y="381000"/>
          <a:ext cx="1600200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190500</xdr:colOff>
      <xdr:row>1</xdr:row>
      <xdr:rowOff>0</xdr:rowOff>
    </xdr:from>
    <xdr:to>
      <xdr:col>13</xdr:col>
      <xdr:colOff>1889760</xdr:colOff>
      <xdr:row>3</xdr:row>
      <xdr:rowOff>231140</xdr:rowOff>
    </xdr:to>
    <xdr:pic>
      <xdr:nvPicPr>
        <xdr:cNvPr id="3" name="图片 2" descr="IMG_20240425_150458.jp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20903565" y="381000"/>
          <a:ext cx="1699260" cy="967740"/>
        </a:xfrm>
        <a:prstGeom prst="rect">
          <a:avLst/>
        </a:prstGeom>
      </xdr:spPr>
    </xdr:pic>
    <xdr:clientData/>
  </xdr:twoCellAnchor>
  <xdr:twoCellAnchor editAs="oneCell">
    <xdr:from>
      <xdr:col>14</xdr:col>
      <xdr:colOff>238125</xdr:colOff>
      <xdr:row>1</xdr:row>
      <xdr:rowOff>95250</xdr:rowOff>
    </xdr:from>
    <xdr:to>
      <xdr:col>14</xdr:col>
      <xdr:colOff>1895475</xdr:colOff>
      <xdr:row>3</xdr:row>
      <xdr:rowOff>273050</xdr:rowOff>
    </xdr:to>
    <xdr:pic>
      <xdr:nvPicPr>
        <xdr:cNvPr id="4" name="Picture 9"/>
        <xdr:cNvPicPr>
          <a:picLocks noChangeAspect="1" noChangeArrowheads="1"/>
        </xdr:cNvPicPr>
      </xdr:nvPicPr>
      <xdr:blipFill>
        <a:blip r:embed="rId1"/>
        <a:srcRect l="27942" t="45540" r="54025" b="36772"/>
        <a:stretch>
          <a:fillRect/>
        </a:stretch>
      </xdr:blipFill>
      <xdr:spPr>
        <a:xfrm>
          <a:off x="22922865" y="476250"/>
          <a:ext cx="1657350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14</xdr:col>
      <xdr:colOff>238125</xdr:colOff>
      <xdr:row>2</xdr:row>
      <xdr:rowOff>95250</xdr:rowOff>
    </xdr:from>
    <xdr:to>
      <xdr:col>14</xdr:col>
      <xdr:colOff>1895475</xdr:colOff>
      <xdr:row>5</xdr:row>
      <xdr:rowOff>92075</xdr:rowOff>
    </xdr:to>
    <xdr:pic>
      <xdr:nvPicPr>
        <xdr:cNvPr id="5" name="Picture 9"/>
        <xdr:cNvPicPr>
          <a:picLocks noChangeAspect="1" noChangeArrowheads="1"/>
        </xdr:cNvPicPr>
      </xdr:nvPicPr>
      <xdr:blipFill>
        <a:blip r:embed="rId1"/>
        <a:srcRect l="27942" t="45540" r="54025" b="36772"/>
        <a:stretch>
          <a:fillRect/>
        </a:stretch>
      </xdr:blipFill>
      <xdr:spPr>
        <a:xfrm>
          <a:off x="22922865" y="844550"/>
          <a:ext cx="1657350" cy="914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13</xdr:col>
      <xdr:colOff>149678</xdr:colOff>
      <xdr:row>1</xdr:row>
      <xdr:rowOff>81643</xdr:rowOff>
    </xdr:from>
    <xdr:to>
      <xdr:col>13</xdr:col>
      <xdr:colOff>1850843</xdr:colOff>
      <xdr:row>3</xdr:row>
      <xdr:rowOff>216263</xdr:rowOff>
    </xdr:to>
    <xdr:pic>
      <xdr:nvPicPr>
        <xdr:cNvPr id="6" name="图片 5" descr="IMG_20240425_145246.jpg"/>
        <xdr:cNvPicPr>
          <a:picLocks noChangeAspect="1"/>
        </xdr:cNvPicPr>
      </xdr:nvPicPr>
      <xdr:blipFill>
        <a:blip r:embed="rId3" cstate="print"/>
        <a:srcRect l="2781" t="6732" b="10869"/>
        <a:stretch>
          <a:fillRect/>
        </a:stretch>
      </xdr:blipFill>
      <xdr:spPr>
        <a:xfrm>
          <a:off x="20862290" y="462280"/>
          <a:ext cx="1701165" cy="871220"/>
        </a:xfrm>
        <a:prstGeom prst="rect">
          <a:avLst/>
        </a:prstGeom>
      </xdr:spPr>
    </xdr:pic>
    <xdr:clientData/>
  </xdr:twoCellAnchor>
  <xdr:twoCellAnchor editAs="oneCell">
    <xdr:from>
      <xdr:col>13</xdr:col>
      <xdr:colOff>163285</xdr:colOff>
      <xdr:row>2</xdr:row>
      <xdr:rowOff>149678</xdr:rowOff>
    </xdr:from>
    <xdr:to>
      <xdr:col>13</xdr:col>
      <xdr:colOff>1863815</xdr:colOff>
      <xdr:row>5</xdr:row>
      <xdr:rowOff>103323</xdr:rowOff>
    </xdr:to>
    <xdr:pic>
      <xdr:nvPicPr>
        <xdr:cNvPr id="7" name="图片 6" descr="IMG_20240425_145246.jpg"/>
        <xdr:cNvPicPr>
          <a:picLocks noChangeAspect="1"/>
        </xdr:cNvPicPr>
      </xdr:nvPicPr>
      <xdr:blipFill>
        <a:blip r:embed="rId3" cstate="print"/>
        <a:srcRect l="2781" t="6732" b="10869"/>
        <a:stretch>
          <a:fillRect/>
        </a:stretch>
      </xdr:blipFill>
      <xdr:spPr>
        <a:xfrm>
          <a:off x="20876260" y="898525"/>
          <a:ext cx="1700530" cy="8712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tabSelected="1" zoomScale="90" zoomScaleNormal="90" workbookViewId="0">
      <pane xSplit="5" ySplit="1" topLeftCell="O2" activePane="bottomRight" state="frozen"/>
      <selection/>
      <selection pane="topRight"/>
      <selection pane="bottomLeft"/>
      <selection pane="bottomRight" activeCell="R13" sqref="R13"/>
    </sheetView>
  </sheetViews>
  <sheetFormatPr defaultColWidth="9" defaultRowHeight="14.25" outlineLevelRow="3"/>
  <cols>
    <col min="1" max="1" width="23.125" style="3" customWidth="1"/>
    <col min="2" max="2" width="19.375" style="3" customWidth="1"/>
    <col min="3" max="3" width="22.125" style="1" customWidth="1"/>
    <col min="4" max="4" width="16.375" style="1" customWidth="1"/>
    <col min="5" max="5" width="21.125" style="4" customWidth="1"/>
    <col min="6" max="7" width="21.125" style="5" customWidth="1"/>
    <col min="8" max="8" width="21.125" style="4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27.75" style="6" customWidth="1"/>
    <col min="16" max="18" width="16.375" style="1" customWidth="1"/>
    <col min="19" max="19" width="16.375" style="1" hidden="1" customWidth="1"/>
    <col min="20" max="20" width="15" style="1" hidden="1" customWidth="1"/>
    <col min="21" max="21" width="17" style="1" customWidth="1"/>
    <col min="22" max="22" width="15.75" style="1" customWidth="1"/>
    <col min="23" max="23" width="17" style="6" customWidth="1"/>
    <col min="24" max="24" width="23.875" style="1" customWidth="1"/>
    <col min="25" max="25" width="24.125" style="1" customWidth="1"/>
    <col min="26" max="26" width="30.625" style="7" customWidth="1"/>
    <col min="27" max="27" width="16.875" style="1" customWidth="1"/>
    <col min="28" max="28" width="16" style="6" customWidth="1"/>
    <col min="29" max="16384" width="9" style="6"/>
  </cols>
  <sheetData>
    <row r="1" s="1" customFormat="1" ht="30" customHeight="1" spans="1:28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22" t="s">
        <v>17</v>
      </c>
      <c r="S1" s="8" t="s">
        <v>18</v>
      </c>
      <c r="T1" s="8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7" t="s">
        <v>26</v>
      </c>
      <c r="AB1" s="23" t="s">
        <v>27</v>
      </c>
    </row>
    <row r="2" s="2" customFormat="1" ht="90" customHeight="1" spans="1:28">
      <c r="A2" s="12" t="s">
        <v>28</v>
      </c>
      <c r="B2" s="13" t="s">
        <v>29</v>
      </c>
      <c r="C2" s="14" t="s">
        <v>30</v>
      </c>
      <c r="D2" s="15" t="s">
        <v>31</v>
      </c>
      <c r="E2" s="16" t="s">
        <v>32</v>
      </c>
      <c r="F2" s="17"/>
      <c r="G2" s="18"/>
      <c r="H2" s="18" t="s">
        <v>33</v>
      </c>
      <c r="I2" s="19" t="s">
        <v>34</v>
      </c>
      <c r="J2" s="19" t="s">
        <v>35</v>
      </c>
      <c r="K2" s="20" t="s">
        <v>36</v>
      </c>
      <c r="L2" s="18" t="s">
        <v>37</v>
      </c>
      <c r="M2" s="18" t="s">
        <v>38</v>
      </c>
      <c r="N2" s="18"/>
      <c r="O2" s="18"/>
      <c r="P2" s="18">
        <v>2</v>
      </c>
      <c r="Q2" s="24">
        <v>300</v>
      </c>
      <c r="R2" s="25">
        <f>P2*Q2</f>
        <v>600</v>
      </c>
      <c r="S2" s="18"/>
      <c r="T2" s="18"/>
      <c r="U2" s="18" t="s">
        <v>39</v>
      </c>
      <c r="V2" s="18">
        <v>1</v>
      </c>
      <c r="W2" s="18">
        <v>7.9</v>
      </c>
      <c r="X2" s="18">
        <v>7</v>
      </c>
      <c r="Y2" s="18" t="s">
        <v>40</v>
      </c>
      <c r="Z2" s="19" t="s">
        <v>41</v>
      </c>
      <c r="AA2" s="28" t="s">
        <v>42</v>
      </c>
      <c r="AB2" s="18" t="s">
        <v>43</v>
      </c>
    </row>
    <row r="3" s="2" customFormat="1" ht="90" customHeight="1" spans="1:28">
      <c r="A3" s="12" t="s">
        <v>28</v>
      </c>
      <c r="B3" s="13" t="s">
        <v>29</v>
      </c>
      <c r="C3" s="14" t="s">
        <v>30</v>
      </c>
      <c r="D3" s="15" t="s">
        <v>31</v>
      </c>
      <c r="E3" s="16" t="s">
        <v>32</v>
      </c>
      <c r="F3" s="17"/>
      <c r="G3" s="18"/>
      <c r="H3" s="18" t="s">
        <v>33</v>
      </c>
      <c r="I3" s="19" t="s">
        <v>34</v>
      </c>
      <c r="J3" s="19" t="s">
        <v>35</v>
      </c>
      <c r="K3" s="20" t="s">
        <v>36</v>
      </c>
      <c r="L3" s="18" t="s">
        <v>37</v>
      </c>
      <c r="M3" s="18" t="s">
        <v>38</v>
      </c>
      <c r="N3" s="18"/>
      <c r="O3" s="18"/>
      <c r="P3" s="18">
        <v>1</v>
      </c>
      <c r="Q3" s="24">
        <v>300</v>
      </c>
      <c r="R3" s="25">
        <f>P3*Q3</f>
        <v>300</v>
      </c>
      <c r="S3" s="18"/>
      <c r="T3" s="18"/>
      <c r="U3" s="18" t="s">
        <v>44</v>
      </c>
      <c r="V3" s="18">
        <v>1</v>
      </c>
      <c r="W3" s="18">
        <v>4.6</v>
      </c>
      <c r="X3" s="18">
        <v>3.5</v>
      </c>
      <c r="Y3" s="18" t="s">
        <v>40</v>
      </c>
      <c r="Z3" s="19" t="s">
        <v>41</v>
      </c>
      <c r="AA3" s="28" t="s">
        <v>42</v>
      </c>
      <c r="AB3" s="18" t="s">
        <v>43</v>
      </c>
    </row>
    <row r="4" spans="18:18">
      <c r="R4" s="26">
        <f>SUM(R2:R3)</f>
        <v>900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4"/>
  <sheetViews>
    <sheetView zoomScale="90" zoomScaleNormal="90" workbookViewId="0">
      <pane xSplit="5" ySplit="1" topLeftCell="P2" activePane="bottomRight" state="frozen"/>
      <selection/>
      <selection pane="topRight"/>
      <selection pane="bottomLeft"/>
      <selection pane="bottomRight" activeCell="Q13" sqref="Q13"/>
    </sheetView>
  </sheetViews>
  <sheetFormatPr defaultColWidth="9" defaultRowHeight="14.25" outlineLevelRow="3"/>
  <cols>
    <col min="1" max="1" width="23.125" style="3" customWidth="1"/>
    <col min="2" max="2" width="16.3833333333333" style="3" customWidth="1"/>
    <col min="3" max="3" width="40.4166666666667" style="1" customWidth="1"/>
    <col min="4" max="4" width="22.775" style="1" customWidth="1"/>
    <col min="5" max="5" width="21.125" style="4" customWidth="1"/>
    <col min="6" max="7" width="21.125" style="5" customWidth="1"/>
    <col min="8" max="8" width="21.125" style="4" customWidth="1"/>
    <col min="9" max="10" width="14.125" style="1" customWidth="1"/>
    <col min="11" max="11" width="21" style="1" customWidth="1"/>
    <col min="12" max="12" width="15.875" style="1" customWidth="1"/>
    <col min="13" max="13" width="19.5" style="1" customWidth="1"/>
    <col min="14" max="14" width="25.875" style="6" customWidth="1"/>
    <col min="15" max="15" width="27.75" style="6" customWidth="1"/>
    <col min="16" max="16" width="14.575" style="1" customWidth="1"/>
    <col min="17" max="17" width="15.6916666666667" style="1" customWidth="1"/>
    <col min="18" max="18" width="16.375" style="1" customWidth="1"/>
    <col min="19" max="19" width="16.375" style="1" hidden="1" customWidth="1"/>
    <col min="20" max="20" width="15" style="1" hidden="1" customWidth="1"/>
    <col min="21" max="21" width="17" style="1" customWidth="1"/>
    <col min="22" max="22" width="15.75" style="1" customWidth="1"/>
    <col min="23" max="23" width="17" style="6" customWidth="1"/>
    <col min="24" max="24" width="23.875" style="1" customWidth="1"/>
    <col min="25" max="25" width="24.125" style="1" customWidth="1"/>
    <col min="26" max="26" width="30.625" style="7" customWidth="1"/>
    <col min="27" max="27" width="16.875" style="1" customWidth="1"/>
    <col min="28" max="28" width="16" style="6" customWidth="1"/>
    <col min="29" max="16384" width="9" style="6"/>
  </cols>
  <sheetData>
    <row r="1" s="1" customFormat="1" ht="30" customHeight="1" spans="1:28">
      <c r="A1" s="8" t="s">
        <v>0</v>
      </c>
      <c r="B1" s="9" t="s">
        <v>1</v>
      </c>
      <c r="C1" s="8" t="s">
        <v>2</v>
      </c>
      <c r="D1" s="8" t="s">
        <v>3</v>
      </c>
      <c r="E1" s="10" t="s">
        <v>4</v>
      </c>
      <c r="F1" s="10" t="s">
        <v>5</v>
      </c>
      <c r="G1" s="10" t="s">
        <v>6</v>
      </c>
      <c r="H1" s="11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21" t="s">
        <v>16</v>
      </c>
      <c r="R1" s="22" t="s">
        <v>17</v>
      </c>
      <c r="S1" s="8" t="s">
        <v>18</v>
      </c>
      <c r="T1" s="8" t="s">
        <v>19</v>
      </c>
      <c r="U1" s="23" t="s">
        <v>20</v>
      </c>
      <c r="V1" s="23" t="s">
        <v>21</v>
      </c>
      <c r="W1" s="23" t="s">
        <v>22</v>
      </c>
      <c r="X1" s="23" t="s">
        <v>23</v>
      </c>
      <c r="Y1" s="23" t="s">
        <v>24</v>
      </c>
      <c r="Z1" s="23" t="s">
        <v>25</v>
      </c>
      <c r="AA1" s="27" t="s">
        <v>26</v>
      </c>
      <c r="AB1" s="23" t="s">
        <v>27</v>
      </c>
    </row>
    <row r="2" s="2" customFormat="1" ht="29" customHeight="1" spans="1:28">
      <c r="A2" s="12" t="s">
        <v>28</v>
      </c>
      <c r="B2" s="13" t="s">
        <v>29</v>
      </c>
      <c r="C2" s="14" t="s">
        <v>30</v>
      </c>
      <c r="D2" s="15" t="s">
        <v>31</v>
      </c>
      <c r="E2" s="16" t="s">
        <v>32</v>
      </c>
      <c r="F2" s="17"/>
      <c r="G2" s="18"/>
      <c r="H2" s="18" t="s">
        <v>33</v>
      </c>
      <c r="I2" s="19" t="s">
        <v>34</v>
      </c>
      <c r="J2" s="19" t="s">
        <v>35</v>
      </c>
      <c r="K2" s="20" t="s">
        <v>36</v>
      </c>
      <c r="L2" s="18" t="s">
        <v>37</v>
      </c>
      <c r="M2" s="18" t="s">
        <v>38</v>
      </c>
      <c r="N2" s="18"/>
      <c r="O2" s="18"/>
      <c r="P2" s="18">
        <v>2</v>
      </c>
      <c r="Q2" s="24">
        <v>300</v>
      </c>
      <c r="R2" s="25">
        <f>P2*Q2</f>
        <v>600</v>
      </c>
      <c r="S2" s="18"/>
      <c r="T2" s="18"/>
      <c r="U2" s="18" t="s">
        <v>39</v>
      </c>
      <c r="V2" s="18">
        <v>1</v>
      </c>
      <c r="W2" s="18">
        <v>7.9</v>
      </c>
      <c r="X2" s="18">
        <v>7</v>
      </c>
      <c r="Y2" s="18" t="s">
        <v>40</v>
      </c>
      <c r="Z2" s="19" t="s">
        <v>41</v>
      </c>
      <c r="AA2" s="28" t="s">
        <v>42</v>
      </c>
      <c r="AB2" s="18" t="s">
        <v>43</v>
      </c>
    </row>
    <row r="3" s="2" customFormat="1" ht="29" customHeight="1" spans="1:28">
      <c r="A3" s="12" t="s">
        <v>28</v>
      </c>
      <c r="B3" s="13" t="s">
        <v>29</v>
      </c>
      <c r="C3" s="14" t="s">
        <v>30</v>
      </c>
      <c r="D3" s="15" t="s">
        <v>31</v>
      </c>
      <c r="E3" s="16" t="s">
        <v>32</v>
      </c>
      <c r="F3" s="17"/>
      <c r="G3" s="18"/>
      <c r="H3" s="18" t="s">
        <v>33</v>
      </c>
      <c r="I3" s="19" t="s">
        <v>34</v>
      </c>
      <c r="J3" s="19" t="s">
        <v>35</v>
      </c>
      <c r="K3" s="20" t="s">
        <v>36</v>
      </c>
      <c r="L3" s="18" t="s">
        <v>37</v>
      </c>
      <c r="M3" s="18" t="s">
        <v>38</v>
      </c>
      <c r="N3" s="18"/>
      <c r="O3" s="18"/>
      <c r="P3" s="18">
        <v>1</v>
      </c>
      <c r="Q3" s="24">
        <v>300</v>
      </c>
      <c r="R3" s="25">
        <f>P3*Q3</f>
        <v>300</v>
      </c>
      <c r="S3" s="18"/>
      <c r="T3" s="18"/>
      <c r="U3" s="18" t="s">
        <v>44</v>
      </c>
      <c r="V3" s="18">
        <v>1</v>
      </c>
      <c r="W3" s="18">
        <v>4.6</v>
      </c>
      <c r="X3" s="18">
        <v>3.5</v>
      </c>
      <c r="Y3" s="18" t="s">
        <v>40</v>
      </c>
      <c r="Z3" s="19" t="s">
        <v>41</v>
      </c>
      <c r="AA3" s="28" t="s">
        <v>42</v>
      </c>
      <c r="AB3" s="18" t="s">
        <v>43</v>
      </c>
    </row>
    <row r="4" ht="29" customHeight="1" spans="18:18">
      <c r="R4" s="26">
        <f>SUM(R2:R3)</f>
        <v>900</v>
      </c>
    </row>
  </sheetData>
  <pageMargins left="0.118055555555556" right="0.0777777777777778" top="0.747916666666667" bottom="0.747916666666667" header="0.313888888888889" footer="0.313888888888889"/>
  <pageSetup paperSize="8" scale="3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Lenovo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listing</vt:lpstr>
      <vt:lpstr>listing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jbcheng</dc:creator>
  <cp:lastModifiedBy>thomas</cp:lastModifiedBy>
  <dcterms:created xsi:type="dcterms:W3CDTF">2021-07-22T02:15:00Z</dcterms:created>
  <cp:lastPrinted>2021-07-22T06:54:00Z</cp:lastPrinted>
  <dcterms:modified xsi:type="dcterms:W3CDTF">2024-05-20T01:04:02Z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2052-10.1.0.6689</vt:lpwstr>
  </property>
  <property fmtid="{D5CDD505-2E9C-101B-9397-08002B2CF9AE}" pid="3" name="ICV">
    <vt:lpwstr>3BE2CD091D3D46ACB962EB026E893F84</vt:lpwstr>
  </property>
</Properties>
</file>