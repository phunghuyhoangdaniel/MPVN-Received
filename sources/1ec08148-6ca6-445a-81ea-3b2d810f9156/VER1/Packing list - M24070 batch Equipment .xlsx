
<file path=[Content_Types].xml><?xml version="1.0" encoding="utf-8"?>
<Types xmlns="http://schemas.openxmlformats.org/package/2006/content-types">
  <Default Extension="wmf" ContentType="image/x-w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9990"/>
  </bookViews>
  <sheets>
    <sheet name="M20240701" sheetId="11" r:id="rId1"/>
  </sheets>
  <definedNames>
    <definedName name="_xlnm._FilterDatabase" localSheetId="0" hidden="1">M20240701!$A$1:$AF$6</definedName>
  </definedNames>
  <calcPr calcId="144525" concurrentCalc="0"/>
</workbook>
</file>

<file path=xl/sharedStrings.xml><?xml version="1.0" encoding="utf-8"?>
<sst xmlns="http://schemas.openxmlformats.org/spreadsheetml/2006/main" count="80" uniqueCount="65">
  <si>
    <t>1) ENGLISH ITEM NAME
 (ex : OOOO machine)</t>
  </si>
  <si>
    <t>2)中文名称</t>
  </si>
  <si>
    <t>3) MANUFACTUROR
(ex : OOO company)</t>
  </si>
  <si>
    <t>品牌</t>
  </si>
  <si>
    <t>4) MODEL NO 
(ex : abc-123)</t>
  </si>
  <si>
    <t>MOLD NO</t>
  </si>
  <si>
    <t>5)Serial number</t>
  </si>
  <si>
    <t>6)CN hs code</t>
  </si>
  <si>
    <t>7)VN hs code</t>
  </si>
  <si>
    <t>申报要素</t>
  </si>
  <si>
    <t>中文名称</t>
  </si>
  <si>
    <t>8)Material</t>
  </si>
  <si>
    <t>9) VOLTAGE 
(ex : 220V)</t>
  </si>
  <si>
    <t>10) CAPACITY 
(ex :1200KW)</t>
  </si>
  <si>
    <t>11) Manufacture date
(yyyy-mm-dd)</t>
  </si>
  <si>
    <t>12) ORIGIN</t>
  </si>
  <si>
    <t>13) NEW or 
USED</t>
  </si>
  <si>
    <t>14) PICTURE
(BEFORE PACKING)</t>
  </si>
  <si>
    <t>15) PICTURE
(NAME PLATE or label)</t>
  </si>
  <si>
    <t>16)Quantity</t>
  </si>
  <si>
    <t>17)cost(RMB 13%VAT)</t>
  </si>
  <si>
    <t>18)cost(USD)</t>
  </si>
  <si>
    <t>19)Total cost(USD)</t>
  </si>
  <si>
    <t>20)CARTON NO.</t>
  </si>
  <si>
    <t>21)CTN QTY</t>
  </si>
  <si>
    <t>22)G.W(KGS)</t>
  </si>
  <si>
    <t>23)N.W(KGS)</t>
  </si>
  <si>
    <t>24)Package Size(CM)</t>
  </si>
  <si>
    <t>25)Part size</t>
  </si>
  <si>
    <t>26)应用范围</t>
  </si>
  <si>
    <t>27)是否带电源</t>
  </si>
  <si>
    <t>PR单价</t>
  </si>
  <si>
    <t>PLASTIC TOOLING</t>
  </si>
  <si>
    <t>塑胶模具</t>
  </si>
  <si>
    <t>GAINPOWER INDUSTRIES (HONGKONG) LTD</t>
  </si>
  <si>
    <t>OPERATION REFRESH</t>
  </si>
  <si>
    <t>001-24002-12A</t>
  </si>
  <si>
    <t>/</t>
  </si>
  <si>
    <r>
      <rPr>
        <sz val="10"/>
        <color rgb="FF000000"/>
        <rFont val="Arial"/>
        <charset val="134"/>
      </rPr>
      <t>0|1|</t>
    </r>
    <r>
      <rPr>
        <sz val="10"/>
        <color rgb="FF000000"/>
        <rFont val="宋体"/>
        <charset val="134"/>
      </rPr>
      <t>啤塑定型用</t>
    </r>
    <r>
      <rPr>
        <sz val="10"/>
        <color rgb="FF000000"/>
        <rFont val="Arial"/>
        <charset val="134"/>
      </rPr>
      <t>|</t>
    </r>
    <r>
      <rPr>
        <sz val="10"/>
        <color rgb="FF000000"/>
        <rFont val="宋体"/>
        <charset val="134"/>
      </rPr>
      <t>塑胶</t>
    </r>
    <r>
      <rPr>
        <sz val="10"/>
        <color rgb="FF000000"/>
        <rFont val="Arial"/>
        <charset val="134"/>
      </rPr>
      <t>|</t>
    </r>
    <r>
      <rPr>
        <sz val="10"/>
        <color rgb="FF000000"/>
        <rFont val="宋体"/>
        <charset val="134"/>
      </rPr>
      <t>无品牌</t>
    </r>
    <r>
      <rPr>
        <sz val="10"/>
        <color rgb="FF000000"/>
        <rFont val="Arial"/>
        <charset val="134"/>
      </rPr>
      <t>|001-24002-12A</t>
    </r>
    <r>
      <rPr>
        <sz val="10"/>
        <color rgb="FF000000"/>
        <rFont val="宋体"/>
        <charset val="134"/>
      </rPr>
      <t>型</t>
    </r>
    <r>
      <rPr>
        <sz val="10"/>
        <color rgb="FF000000"/>
        <rFont val="Arial"/>
        <charset val="134"/>
      </rPr>
      <t>|</t>
    </r>
    <r>
      <rPr>
        <sz val="10"/>
        <color rgb="FF000000"/>
        <rFont val="宋体"/>
        <charset val="134"/>
      </rPr>
      <t>钢</t>
    </r>
    <r>
      <rPr>
        <sz val="10"/>
        <color rgb="FF000000"/>
        <rFont val="Arial"/>
        <charset val="134"/>
      </rPr>
      <t>|</t>
    </r>
    <r>
      <rPr>
        <sz val="10"/>
        <color rgb="FF000000"/>
        <rFont val="宋体"/>
        <charset val="134"/>
      </rPr>
      <t>将受热融化的塑胶原材料由注塑机螺杆推进高压射入塑胶模具的模腔</t>
    </r>
    <r>
      <rPr>
        <sz val="10"/>
        <color rgb="FF000000"/>
        <rFont val="Arial"/>
        <charset val="134"/>
      </rPr>
      <t>,</t>
    </r>
    <r>
      <rPr>
        <sz val="10"/>
        <color rgb="FF000000"/>
        <rFont val="宋体"/>
        <charset val="134"/>
      </rPr>
      <t>经冷却固化后</t>
    </r>
    <r>
      <rPr>
        <sz val="10"/>
        <color rgb="FF000000"/>
        <rFont val="Arial"/>
        <charset val="134"/>
      </rPr>
      <t>,</t>
    </r>
    <r>
      <rPr>
        <sz val="10"/>
        <color rgb="FF000000"/>
        <rFont val="宋体"/>
        <charset val="134"/>
      </rPr>
      <t>得到塑胶成形产品</t>
    </r>
  </si>
  <si>
    <t>STEEL</t>
  </si>
  <si>
    <t>2024.5.10</t>
  </si>
  <si>
    <t>CHINA</t>
  </si>
  <si>
    <t>NEW</t>
  </si>
  <si>
    <t>B02</t>
  </si>
  <si>
    <t>400*400*400</t>
  </si>
  <si>
    <t>35*38*36</t>
  </si>
  <si>
    <t>INJECTION</t>
  </si>
  <si>
    <t>NO</t>
  </si>
  <si>
    <t>ROBOT ARM</t>
  </si>
  <si>
    <t>模具机械手治具</t>
  </si>
  <si>
    <t>TECHSEN ELECTRONICS (SHENZHEN) CO.,LTD</t>
  </si>
  <si>
    <t>001-24002--12A-01</t>
  </si>
  <si>
    <r>
      <rPr>
        <sz val="10"/>
        <rFont val="Arial"/>
        <charset val="0"/>
      </rPr>
      <t>0|1|</t>
    </r>
    <r>
      <rPr>
        <sz val="10"/>
        <rFont val="宋体"/>
        <charset val="0"/>
      </rPr>
      <t>啤塑机辅助用</t>
    </r>
    <r>
      <rPr>
        <sz val="10"/>
        <rFont val="Arial"/>
        <charset val="0"/>
      </rPr>
      <t>|</t>
    </r>
    <r>
      <rPr>
        <sz val="10"/>
        <rFont val="宋体"/>
        <charset val="0"/>
      </rPr>
      <t>无品牌</t>
    </r>
    <r>
      <rPr>
        <sz val="10"/>
        <rFont val="Arial"/>
        <charset val="0"/>
      </rPr>
      <t>|001-24002--12A-01</t>
    </r>
    <r>
      <rPr>
        <sz val="10"/>
        <rFont val="宋体"/>
        <charset val="0"/>
      </rPr>
      <t>型</t>
    </r>
  </si>
  <si>
    <r>
      <rPr>
        <sz val="10"/>
        <color theme="1"/>
        <rFont val="Arial"/>
        <charset val="134"/>
      </rPr>
      <t>PLASTIC</t>
    </r>
    <r>
      <rPr>
        <sz val="10"/>
        <color theme="1"/>
        <rFont val="宋体"/>
        <charset val="134"/>
      </rPr>
      <t>＋</t>
    </r>
    <r>
      <rPr>
        <sz val="10"/>
        <color theme="1"/>
        <rFont val="Arial"/>
        <charset val="134"/>
      </rPr>
      <t>HARDWARE</t>
    </r>
  </si>
  <si>
    <t>2024.6.20</t>
  </si>
  <si>
    <t>21*13*12</t>
  </si>
  <si>
    <t>TOOLING INJECTION</t>
  </si>
  <si>
    <t>FIXTURE1</t>
  </si>
  <si>
    <t>夹具</t>
  </si>
  <si>
    <t>SPY-FIXTURE1-17024-01</t>
  </si>
  <si>
    <t>SPY01</t>
  </si>
  <si>
    <t>SAMPLE</t>
  </si>
  <si>
    <t>SPRAY PAINTING MASK</t>
  </si>
  <si>
    <t>喷油模</t>
  </si>
  <si>
    <t>SPY-17024-01</t>
  </si>
</sst>
</file>

<file path=xl/styles.xml><?xml version="1.0" encoding="utf-8"?>
<styleSheet xmlns="http://schemas.openxmlformats.org/spreadsheetml/2006/main">
  <numFmts count="7">
    <numFmt numFmtId="44" formatCode="_ &quot;￥&quot;* #,##0.00_ ;_ &quot;￥&quot;* \-#,##0.00_ ;_ &quot;￥&quot;* &quot;-&quot;??_ ;_ @_ "/>
    <numFmt numFmtId="41" formatCode="_ * #,##0_ ;_ * \-#,##0_ ;_ * &quot;-&quot;_ ;_ @_ "/>
    <numFmt numFmtId="176" formatCode="0.0000_ "/>
    <numFmt numFmtId="42" formatCode="_ &quot;￥&quot;* #,##0_ ;_ &quot;￥&quot;* \-#,##0_ ;_ &quot;￥&quot;* &quot;-&quot;_ ;_ @_ "/>
    <numFmt numFmtId="43" formatCode="_ * #,##0.00_ ;_ * \-#,##0.00_ ;_ * &quot;-&quot;??_ ;_ @_ "/>
    <numFmt numFmtId="177" formatCode="0.00_ "/>
    <numFmt numFmtId="178" formatCode="0_ "/>
  </numFmts>
  <fonts count="32">
    <font>
      <sz val="11"/>
      <color theme="1"/>
      <name val="宋体"/>
      <charset val="134"/>
      <scheme val="minor"/>
    </font>
    <font>
      <sz val="12"/>
      <color theme="1"/>
      <name val="楷体"/>
      <charset val="134"/>
    </font>
    <font>
      <sz val="10"/>
      <color theme="1"/>
      <name val="Arial"/>
      <charset val="134"/>
    </font>
    <font>
      <sz val="10"/>
      <name val="Arial"/>
      <charset val="134"/>
    </font>
    <font>
      <b/>
      <sz val="12"/>
      <color rgb="FF000000"/>
      <name val="楷体"/>
      <charset val="134"/>
    </font>
    <font>
      <sz val="10"/>
      <color rgb="FF000000"/>
      <name val="Arial"/>
      <charset val="134"/>
    </font>
    <font>
      <sz val="10"/>
      <color theme="1"/>
      <name val="宋体"/>
      <charset val="134"/>
    </font>
    <font>
      <sz val="10"/>
      <name val="Arial"/>
      <charset val="0"/>
    </font>
    <font>
      <b/>
      <sz val="12"/>
      <color rgb="FFFF0000"/>
      <name val="楷体"/>
      <charset val="134"/>
    </font>
    <font>
      <sz val="10"/>
      <color rgb="FFFF0000"/>
      <name val="Arial"/>
      <charset val="134"/>
    </font>
    <font>
      <sz val="12"/>
      <color theme="1"/>
      <name val="宋体"/>
      <charset val="134"/>
      <scheme val="minor"/>
    </font>
    <font>
      <sz val="11"/>
      <color theme="1"/>
      <name val="宋体"/>
      <charset val="0"/>
      <scheme val="minor"/>
    </font>
    <font>
      <sz val="11"/>
      <color rgb="FF9C0006"/>
      <name val="宋体"/>
      <charset val="0"/>
      <scheme val="minor"/>
    </font>
    <font>
      <b/>
      <sz val="11"/>
      <color theme="1"/>
      <name val="宋体"/>
      <charset val="0"/>
      <scheme val="minor"/>
    </font>
    <font>
      <sz val="11"/>
      <color rgb="FF3F3F7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sz val="11"/>
      <color rgb="FF006100"/>
      <name val="宋体"/>
      <charset val="0"/>
      <scheme val="minor"/>
    </font>
    <font>
      <sz val="11"/>
      <color rgb="FF9C6500"/>
      <name val="宋体"/>
      <charset val="0"/>
      <scheme val="minor"/>
    </font>
    <font>
      <sz val="10"/>
      <color rgb="FF000000"/>
      <name val="宋体"/>
      <charset val="134"/>
    </font>
    <font>
      <sz val="10"/>
      <name val="宋体"/>
      <charset val="0"/>
    </font>
  </fonts>
  <fills count="34">
    <fill>
      <patternFill patternType="none"/>
    </fill>
    <fill>
      <patternFill patternType="gray125"/>
    </fill>
    <fill>
      <patternFill patternType="solid">
        <fgColor theme="3" tint="0.6"/>
        <bgColor indexed="64"/>
      </patternFill>
    </fill>
    <fill>
      <patternFill patternType="solid">
        <fgColor theme="6" tint="0.799981688894314"/>
        <bgColor indexed="64"/>
      </patternFill>
    </fill>
    <fill>
      <patternFill patternType="solid">
        <fgColor rgb="FFFFC7CE"/>
        <bgColor indexed="64"/>
      </patternFill>
    </fill>
    <fill>
      <patternFill patternType="solid">
        <fgColor rgb="FFFFCC99"/>
        <bgColor indexed="64"/>
      </patternFill>
    </fill>
    <fill>
      <patternFill patternType="solid">
        <fgColor theme="5"/>
        <bgColor indexed="64"/>
      </patternFill>
    </fill>
    <fill>
      <patternFill patternType="solid">
        <fgColor theme="6" tint="0.599993896298105"/>
        <bgColor indexed="64"/>
      </patternFill>
    </fill>
    <fill>
      <patternFill patternType="solid">
        <fgColor theme="6"/>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rgb="FFF2F2F2"/>
        <bgColor indexed="64"/>
      </patternFill>
    </fill>
    <fill>
      <patternFill patternType="solid">
        <fgColor theme="4" tint="0.599993896298105"/>
        <bgColor indexed="64"/>
      </patternFill>
    </fill>
    <fill>
      <patternFill patternType="solid">
        <fgColor theme="4" tint="0.799981688894314"/>
        <bgColor indexed="64"/>
      </patternFill>
    </fill>
    <fill>
      <patternFill patternType="solid">
        <fgColor rgb="FFA5A5A5"/>
        <bgColor indexed="64"/>
      </patternFill>
    </fill>
    <fill>
      <patternFill patternType="solid">
        <fgColor theme="4"/>
        <bgColor indexed="64"/>
      </patternFill>
    </fill>
    <fill>
      <patternFill patternType="solid">
        <fgColor rgb="FFC6EFCE"/>
        <bgColor indexed="64"/>
      </patternFill>
    </fill>
    <fill>
      <patternFill patternType="solid">
        <fgColor rgb="FFFFEB9C"/>
        <bgColor indexed="64"/>
      </patternFill>
    </fill>
    <fill>
      <patternFill patternType="solid">
        <fgColor theme="8"/>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7"/>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10" fillId="0" borderId="0" applyFont="0" applyFill="0" applyBorder="0" applyAlignment="0" applyProtection="0">
      <alignment vertical="center"/>
    </xf>
    <xf numFmtId="0" fontId="11" fillId="3" borderId="0" applyNumberFormat="0" applyBorder="0" applyAlignment="0" applyProtection="0">
      <alignment vertical="center"/>
    </xf>
    <xf numFmtId="0" fontId="14" fillId="5" borderId="6" applyNumberFormat="0" applyAlignment="0" applyProtection="0">
      <alignment vertical="center"/>
    </xf>
    <xf numFmtId="44" fontId="10" fillId="0" borderId="0" applyFont="0" applyFill="0" applyBorder="0" applyAlignment="0" applyProtection="0">
      <alignment vertical="center"/>
    </xf>
    <xf numFmtId="41" fontId="10" fillId="0" borderId="0" applyFont="0" applyFill="0" applyBorder="0" applyAlignment="0" applyProtection="0">
      <alignment vertical="center"/>
    </xf>
    <xf numFmtId="0" fontId="11" fillId="7" borderId="0" applyNumberFormat="0" applyBorder="0" applyAlignment="0" applyProtection="0">
      <alignment vertical="center"/>
    </xf>
    <xf numFmtId="0" fontId="12" fillId="4" borderId="0" applyNumberFormat="0" applyBorder="0" applyAlignment="0" applyProtection="0">
      <alignment vertical="center"/>
    </xf>
    <xf numFmtId="43" fontId="10"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0" fillId="12" borderId="7" applyNumberFormat="0" applyFont="0" applyAlignment="0" applyProtection="0">
      <alignment vertical="center"/>
    </xf>
    <xf numFmtId="0" fontId="15" fillId="14"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0" borderId="8" applyNumberFormat="0" applyFill="0" applyAlignment="0" applyProtection="0">
      <alignment vertical="center"/>
    </xf>
    <xf numFmtId="0" fontId="15" fillId="18" borderId="0" applyNumberFormat="0" applyBorder="0" applyAlignment="0" applyProtection="0">
      <alignment vertical="center"/>
    </xf>
    <xf numFmtId="0" fontId="18" fillId="0" borderId="9" applyNumberFormat="0" applyFill="0" applyAlignment="0" applyProtection="0">
      <alignment vertical="center"/>
    </xf>
    <xf numFmtId="0" fontId="15" fillId="17" borderId="0" applyNumberFormat="0" applyBorder="0" applyAlignment="0" applyProtection="0">
      <alignment vertical="center"/>
    </xf>
    <xf numFmtId="0" fontId="24" fillId="19" borderId="10" applyNumberFormat="0" applyAlignment="0" applyProtection="0">
      <alignment vertical="center"/>
    </xf>
    <xf numFmtId="0" fontId="25" fillId="19" borderId="6" applyNumberFormat="0" applyAlignment="0" applyProtection="0">
      <alignment vertical="center"/>
    </xf>
    <xf numFmtId="0" fontId="26" fillId="22" borderId="11" applyNumberFormat="0" applyAlignment="0" applyProtection="0">
      <alignment vertical="center"/>
    </xf>
    <xf numFmtId="0" fontId="11" fillId="10" borderId="0" applyNumberFormat="0" applyBorder="0" applyAlignment="0" applyProtection="0">
      <alignment vertical="center"/>
    </xf>
    <xf numFmtId="0" fontId="15" fillId="6" borderId="0" applyNumberFormat="0" applyBorder="0" applyAlignment="0" applyProtection="0">
      <alignment vertical="center"/>
    </xf>
    <xf numFmtId="0" fontId="27" fillId="0" borderId="12" applyNumberFormat="0" applyFill="0" applyAlignment="0" applyProtection="0">
      <alignment vertical="center"/>
    </xf>
    <xf numFmtId="0" fontId="13" fillId="0" borderId="5" applyNumberFormat="0" applyFill="0" applyAlignment="0" applyProtection="0">
      <alignment vertical="center"/>
    </xf>
    <xf numFmtId="0" fontId="28" fillId="24" borderId="0" applyNumberFormat="0" applyBorder="0" applyAlignment="0" applyProtection="0">
      <alignment vertical="center"/>
    </xf>
    <xf numFmtId="0" fontId="29" fillId="25" borderId="0" applyNumberFormat="0" applyBorder="0" applyAlignment="0" applyProtection="0">
      <alignment vertical="center"/>
    </xf>
    <xf numFmtId="0" fontId="11" fillId="16" borderId="0" applyNumberFormat="0" applyBorder="0" applyAlignment="0" applyProtection="0">
      <alignment vertical="center"/>
    </xf>
    <xf numFmtId="0" fontId="15" fillId="23" borderId="0" applyNumberFormat="0" applyBorder="0" applyAlignment="0" applyProtection="0">
      <alignment vertical="center"/>
    </xf>
    <xf numFmtId="0" fontId="11" fillId="21" borderId="0" applyNumberFormat="0" applyBorder="0" applyAlignment="0" applyProtection="0">
      <alignment vertical="center"/>
    </xf>
    <xf numFmtId="0" fontId="11" fillId="20" borderId="0" applyNumberFormat="0" applyBorder="0" applyAlignment="0" applyProtection="0">
      <alignment vertical="center"/>
    </xf>
    <xf numFmtId="0" fontId="11" fillId="28" borderId="0" applyNumberFormat="0" applyBorder="0" applyAlignment="0" applyProtection="0">
      <alignment vertical="center"/>
    </xf>
    <xf numFmtId="0" fontId="11" fillId="27" borderId="0" applyNumberFormat="0" applyBorder="0" applyAlignment="0" applyProtection="0">
      <alignment vertical="center"/>
    </xf>
    <xf numFmtId="0" fontId="15" fillId="8" borderId="0" applyNumberFormat="0" applyBorder="0" applyAlignment="0" applyProtection="0">
      <alignment vertical="center"/>
    </xf>
    <xf numFmtId="0" fontId="15" fillId="29" borderId="0" applyNumberFormat="0" applyBorder="0" applyAlignment="0" applyProtection="0">
      <alignment vertical="center"/>
    </xf>
    <xf numFmtId="0" fontId="11" fillId="15" borderId="0" applyNumberFormat="0" applyBorder="0" applyAlignment="0" applyProtection="0">
      <alignment vertical="center"/>
    </xf>
    <xf numFmtId="0" fontId="11" fillId="13" borderId="0" applyNumberFormat="0" applyBorder="0" applyAlignment="0" applyProtection="0">
      <alignment vertical="center"/>
    </xf>
    <xf numFmtId="0" fontId="15" fillId="26" borderId="0" applyNumberFormat="0" applyBorder="0" applyAlignment="0" applyProtection="0">
      <alignment vertical="center"/>
    </xf>
    <xf numFmtId="0" fontId="11" fillId="31" borderId="0" applyNumberFormat="0" applyBorder="0" applyAlignment="0" applyProtection="0">
      <alignment vertical="center"/>
    </xf>
    <xf numFmtId="0" fontId="15" fillId="9" borderId="0" applyNumberFormat="0" applyBorder="0" applyAlignment="0" applyProtection="0">
      <alignment vertical="center"/>
    </xf>
    <xf numFmtId="0" fontId="15" fillId="32" borderId="0" applyNumberFormat="0" applyBorder="0" applyAlignment="0" applyProtection="0">
      <alignment vertical="center"/>
    </xf>
    <xf numFmtId="0" fontId="11" fillId="33" borderId="0" applyNumberFormat="0" applyBorder="0" applyAlignment="0" applyProtection="0">
      <alignment vertical="center"/>
    </xf>
    <xf numFmtId="0" fontId="15" fillId="30" borderId="0" applyNumberFormat="0" applyBorder="0" applyAlignment="0" applyProtection="0">
      <alignment vertical="center"/>
    </xf>
  </cellStyleXfs>
  <cellXfs count="37">
    <xf numFmtId="0" fontId="0" fillId="0" borderId="0" xfId="0">
      <alignment vertical="center"/>
    </xf>
    <xf numFmtId="0" fontId="1" fillId="0" borderId="0" xfId="0" applyFont="1" applyFill="1" applyAlignment="1">
      <alignment horizontal="center" vertical="center"/>
    </xf>
    <xf numFmtId="0" fontId="2" fillId="0" borderId="0" xfId="0" applyFont="1" applyAlignment="1">
      <alignment horizontal="left" vertical="center"/>
    </xf>
    <xf numFmtId="0" fontId="2" fillId="0" borderId="0" xfId="0" applyFont="1" applyFill="1" applyAlignment="1">
      <alignment horizontal="left" vertical="center"/>
    </xf>
    <xf numFmtId="49" fontId="2" fillId="0" borderId="0" xfId="0" applyNumberFormat="1" applyFont="1" applyFill="1" applyAlignment="1">
      <alignment horizontal="left" vertical="center"/>
    </xf>
    <xf numFmtId="176" fontId="3" fillId="0" borderId="0" xfId="0" applyNumberFormat="1" applyFont="1" applyFill="1" applyAlignment="1">
      <alignment horizontal="left" vertical="center"/>
    </xf>
    <xf numFmtId="176" fontId="2" fillId="0" borderId="0" xfId="0" applyNumberFormat="1" applyFont="1" applyFill="1" applyAlignment="1">
      <alignment horizontal="left" vertical="center"/>
    </xf>
    <xf numFmtId="177" fontId="2" fillId="0" borderId="0" xfId="0" applyNumberFormat="1" applyFont="1" applyFill="1" applyAlignment="1">
      <alignment horizontal="left" vertical="center"/>
    </xf>
    <xf numFmtId="178" fontId="4" fillId="2" borderId="1" xfId="0" applyNumberFormat="1" applyFont="1" applyFill="1" applyBorder="1" applyAlignment="1">
      <alignment horizontal="left" vertical="center" wrapText="1"/>
    </xf>
    <xf numFmtId="178" fontId="4" fillId="2" borderId="1" xfId="0" applyNumberFormat="1" applyFont="1" applyFill="1" applyBorder="1" applyAlignment="1">
      <alignment horizontal="center" vertical="center" wrapText="1"/>
    </xf>
    <xf numFmtId="178" fontId="5" fillId="0" borderId="2" xfId="0" applyNumberFormat="1" applyFont="1" applyFill="1" applyBorder="1" applyAlignment="1">
      <alignment horizontal="left" vertical="center" wrapText="1"/>
    </xf>
    <xf numFmtId="0" fontId="6" fillId="0" borderId="1" xfId="0" applyFont="1" applyFill="1" applyBorder="1" applyAlignment="1">
      <alignment horizontal="left" vertical="center"/>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center"/>
    </xf>
    <xf numFmtId="49" fontId="2" fillId="0" borderId="1" xfId="0" applyNumberFormat="1" applyFont="1" applyFill="1" applyBorder="1" applyAlignment="1">
      <alignment horizontal="left" vertical="center"/>
    </xf>
    <xf numFmtId="178" fontId="5" fillId="0" borderId="1" xfId="0" applyNumberFormat="1" applyFont="1" applyFill="1" applyBorder="1" applyAlignment="1">
      <alignment horizontal="left" vertical="center" wrapText="1"/>
    </xf>
    <xf numFmtId="0" fontId="7" fillId="0" borderId="1" xfId="0" applyFont="1" applyFill="1" applyBorder="1" applyAlignment="1">
      <alignment horizontal="left" vertical="center" wrapText="1"/>
    </xf>
    <xf numFmtId="0" fontId="2" fillId="0" borderId="0" xfId="0" applyFont="1" applyFill="1" applyBorder="1" applyAlignment="1">
      <alignment horizontal="left" vertical="center"/>
    </xf>
    <xf numFmtId="176" fontId="3" fillId="0" borderId="1" xfId="0" applyNumberFormat="1" applyFont="1" applyFill="1" applyBorder="1" applyAlignment="1">
      <alignment horizontal="left" vertical="center"/>
    </xf>
    <xf numFmtId="176" fontId="5" fillId="0" borderId="2" xfId="0" applyNumberFormat="1" applyFont="1" applyFill="1" applyBorder="1" applyAlignment="1">
      <alignment horizontal="left" vertical="center" wrapText="1"/>
    </xf>
    <xf numFmtId="177" fontId="5" fillId="0" borderId="2" xfId="0" applyNumberFormat="1" applyFont="1" applyFill="1" applyBorder="1" applyAlignment="1">
      <alignment horizontal="left" vertical="center" wrapText="1"/>
    </xf>
    <xf numFmtId="0" fontId="2" fillId="0" borderId="3" xfId="0" applyFont="1" applyFill="1" applyBorder="1" applyAlignment="1">
      <alignment horizontal="center" vertical="center" wrapText="1"/>
    </xf>
    <xf numFmtId="176" fontId="5" fillId="0" borderId="1" xfId="0" applyNumberFormat="1" applyFont="1" applyFill="1" applyBorder="1" applyAlignment="1">
      <alignment horizontal="left" vertical="center" wrapText="1"/>
    </xf>
    <xf numFmtId="177" fontId="5" fillId="0" borderId="1" xfId="0" applyNumberFormat="1" applyFont="1" applyFill="1" applyBorder="1" applyAlignment="1">
      <alignment horizontal="left" vertical="center" wrapText="1"/>
    </xf>
    <xf numFmtId="0" fontId="2" fillId="0" borderId="4" xfId="0" applyFont="1" applyFill="1" applyBorder="1" applyAlignment="1">
      <alignment horizontal="center" vertical="center" wrapText="1"/>
    </xf>
    <xf numFmtId="176" fontId="2" fillId="0" borderId="1" xfId="0" applyNumberFormat="1" applyFont="1" applyFill="1" applyBorder="1" applyAlignment="1">
      <alignment horizontal="left" vertical="center"/>
    </xf>
    <xf numFmtId="177" fontId="2" fillId="0" borderId="1" xfId="0" applyNumberFormat="1" applyFont="1" applyFill="1" applyBorder="1" applyAlignment="1">
      <alignment horizontal="left" vertical="center"/>
    </xf>
    <xf numFmtId="0" fontId="2" fillId="0" borderId="2" xfId="0" applyFont="1" applyFill="1" applyBorder="1" applyAlignment="1">
      <alignment horizontal="center" vertical="center"/>
    </xf>
    <xf numFmtId="0" fontId="2" fillId="0" borderId="4" xfId="0" applyFont="1" applyFill="1" applyBorder="1" applyAlignment="1">
      <alignment horizontal="center" vertical="center"/>
    </xf>
    <xf numFmtId="178" fontId="8" fillId="2" borderId="1" xfId="0" applyNumberFormat="1" applyFont="1" applyFill="1" applyBorder="1" applyAlignment="1">
      <alignment horizontal="center" vertical="center" wrapText="1"/>
    </xf>
    <xf numFmtId="0" fontId="2" fillId="0" borderId="3" xfId="0" applyFont="1" applyFill="1" applyBorder="1" applyAlignment="1">
      <alignment horizontal="center" vertical="center"/>
    </xf>
    <xf numFmtId="177" fontId="2" fillId="0" borderId="3" xfId="0" applyNumberFormat="1" applyFont="1" applyFill="1" applyBorder="1" applyAlignment="1">
      <alignment horizontal="center" vertical="center"/>
    </xf>
    <xf numFmtId="0" fontId="2" fillId="0" borderId="1" xfId="0" applyFont="1" applyFill="1" applyBorder="1" applyAlignment="1">
      <alignment horizontal="center" vertical="center"/>
    </xf>
    <xf numFmtId="176" fontId="9" fillId="0" borderId="2" xfId="0" applyNumberFormat="1" applyFont="1" applyFill="1" applyBorder="1" applyAlignment="1">
      <alignment horizontal="left" vertical="center" wrapText="1"/>
    </xf>
    <xf numFmtId="177" fontId="2" fillId="0" borderId="4" xfId="0" applyNumberFormat="1" applyFont="1" applyFill="1" applyBorder="1" applyAlignment="1">
      <alignment horizontal="center" vertical="center"/>
    </xf>
    <xf numFmtId="176" fontId="9" fillId="0" borderId="1" xfId="0" applyNumberFormat="1" applyFont="1" applyFill="1" applyBorder="1" applyAlignment="1">
      <alignment horizontal="left" vertical="center" wrapText="1"/>
    </xf>
    <xf numFmtId="0" fontId="6" fillId="0" borderId="2" xfId="0" applyFont="1" applyFill="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mruColors>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18</xdr:col>
      <xdr:colOff>247015</xdr:colOff>
      <xdr:row>1</xdr:row>
      <xdr:rowOff>180975</xdr:rowOff>
    </xdr:from>
    <xdr:to>
      <xdr:col>18</xdr:col>
      <xdr:colOff>1012825</xdr:colOff>
      <xdr:row>1</xdr:row>
      <xdr:rowOff>490220</xdr:rowOff>
    </xdr:to>
    <xdr:pic>
      <xdr:nvPicPr>
        <xdr:cNvPr id="58" name="图片 57"/>
        <xdr:cNvPicPr>
          <a:picLocks noChangeAspect="1"/>
        </xdr:cNvPicPr>
      </xdr:nvPicPr>
      <xdr:blipFill>
        <a:blip r:embed="rId1"/>
        <a:srcRect/>
        <a:stretch>
          <a:fillRect/>
        </a:stretch>
      </xdr:blipFill>
      <xdr:spPr>
        <a:xfrm>
          <a:off x="23107650" y="600075"/>
          <a:ext cx="765810" cy="309245"/>
        </a:xfrm>
        <a:prstGeom prst="rect">
          <a:avLst/>
        </a:prstGeom>
        <a:noFill/>
        <a:ln w="9525">
          <a:noFill/>
        </a:ln>
      </xdr:spPr>
    </xdr:pic>
    <xdr:clientData/>
  </xdr:twoCellAnchor>
  <xdr:twoCellAnchor>
    <xdr:from>
      <xdr:col>17</xdr:col>
      <xdr:colOff>276225</xdr:colOff>
      <xdr:row>2</xdr:row>
      <xdr:rowOff>41910</xdr:rowOff>
    </xdr:from>
    <xdr:to>
      <xdr:col>17</xdr:col>
      <xdr:colOff>819785</xdr:colOff>
      <xdr:row>2</xdr:row>
      <xdr:rowOff>414655</xdr:rowOff>
    </xdr:to>
    <xdr:pic>
      <xdr:nvPicPr>
        <xdr:cNvPr id="59" name="图片 58"/>
        <xdr:cNvPicPr>
          <a:picLocks noChangeAspect="1"/>
        </xdr:cNvPicPr>
      </xdr:nvPicPr>
      <xdr:blipFill>
        <a:blip r:embed="rId2"/>
        <a:srcRect/>
        <a:stretch>
          <a:fillRect/>
        </a:stretch>
      </xdr:blipFill>
      <xdr:spPr>
        <a:xfrm>
          <a:off x="22051010" y="1108710"/>
          <a:ext cx="543560" cy="372745"/>
        </a:xfrm>
        <a:prstGeom prst="rect">
          <a:avLst/>
        </a:prstGeom>
        <a:noFill/>
        <a:ln w="9525">
          <a:noFill/>
        </a:ln>
      </xdr:spPr>
    </xdr:pic>
    <xdr:clientData/>
  </xdr:twoCellAnchor>
  <xdr:twoCellAnchor>
    <xdr:from>
      <xdr:col>18</xdr:col>
      <xdr:colOff>200660</xdr:colOff>
      <xdr:row>2</xdr:row>
      <xdr:rowOff>40640</xdr:rowOff>
    </xdr:from>
    <xdr:to>
      <xdr:col>18</xdr:col>
      <xdr:colOff>1159510</xdr:colOff>
      <xdr:row>2</xdr:row>
      <xdr:rowOff>450850</xdr:rowOff>
    </xdr:to>
    <xdr:pic>
      <xdr:nvPicPr>
        <xdr:cNvPr id="2" name="图片 1"/>
        <xdr:cNvPicPr>
          <a:picLocks noChangeAspect="1"/>
        </xdr:cNvPicPr>
      </xdr:nvPicPr>
      <xdr:blipFill>
        <a:blip r:embed="rId3"/>
        <a:srcRect b="-7791"/>
        <a:stretch>
          <a:fillRect/>
        </a:stretch>
      </xdr:blipFill>
      <xdr:spPr>
        <a:xfrm>
          <a:off x="23061295" y="1107440"/>
          <a:ext cx="958850" cy="41021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6"/>
  <sheetViews>
    <sheetView tabSelected="1" workbookViewId="0">
      <pane ySplit="1" topLeftCell="A2" activePane="bottomLeft" state="frozen"/>
      <selection/>
      <selection pane="bottomLeft" activeCell="A2" sqref="$A2:$XFD3"/>
    </sheetView>
  </sheetViews>
  <sheetFormatPr defaultColWidth="9" defaultRowHeight="36" customHeight="1" outlineLevelRow="5"/>
  <cols>
    <col min="1" max="1" width="24.75" style="3" customWidth="1"/>
    <col min="2" max="2" width="18.625" style="3" customWidth="1"/>
    <col min="3" max="3" width="33.625" style="3" customWidth="1"/>
    <col min="4" max="4" width="32" style="3" hidden="1" customWidth="1"/>
    <col min="5" max="6" width="14.625" style="3" customWidth="1"/>
    <col min="7" max="7" width="20.125" style="4" customWidth="1"/>
    <col min="8" max="9" width="12.625" style="4" customWidth="1"/>
    <col min="10" max="10" width="29.2333333333333" style="4" customWidth="1"/>
    <col min="11" max="11" width="17.875" style="4" hidden="1" customWidth="1"/>
    <col min="12" max="12" width="20.25" style="4" customWidth="1"/>
    <col min="13" max="14" width="14.1333333333333" style="3" customWidth="1"/>
    <col min="15" max="15" width="21" style="3" customWidth="1"/>
    <col min="16" max="16" width="15.8833333333333" style="3" customWidth="1"/>
    <col min="17" max="17" width="19.5" style="3" customWidth="1"/>
    <col min="18" max="18" width="14.25" style="3" customWidth="1"/>
    <col min="19" max="19" width="17.75" style="3" customWidth="1"/>
    <col min="20" max="20" width="14.2666666666667" style="3" customWidth="1"/>
    <col min="21" max="21" width="16.425" style="5" customWidth="1"/>
    <col min="22" max="22" width="16.425" style="6" customWidth="1"/>
    <col min="23" max="23" width="15" style="7" customWidth="1"/>
    <col min="24" max="24" width="17" style="3" customWidth="1"/>
    <col min="25" max="25" width="10.625" style="3" customWidth="1"/>
    <col min="26" max="27" width="11.625" style="7" customWidth="1"/>
    <col min="28" max="28" width="19.625" style="3" customWidth="1"/>
    <col min="29" max="29" width="12.625" style="3" customWidth="1"/>
    <col min="30" max="30" width="19.125" style="3" customWidth="1"/>
    <col min="31" max="31" width="13" style="3" customWidth="1"/>
    <col min="32" max="32" width="11.4666666666667" style="3" customWidth="1"/>
    <col min="33" max="33" width="14.875" style="3"/>
    <col min="34" max="16384" width="9" style="3"/>
  </cols>
  <sheetData>
    <row r="1" s="1" customFormat="1" ht="33" customHeight="1" spans="1:32">
      <c r="A1" s="8"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29" t="s">
        <v>31</v>
      </c>
    </row>
    <row r="2" s="2" customFormat="1" ht="51" spans="1:32">
      <c r="A2" s="10" t="s">
        <v>32</v>
      </c>
      <c r="B2" s="11" t="s">
        <v>33</v>
      </c>
      <c r="C2" s="12" t="s">
        <v>34</v>
      </c>
      <c r="D2" s="13"/>
      <c r="E2" s="12" t="s">
        <v>35</v>
      </c>
      <c r="F2" s="14" t="s">
        <v>36</v>
      </c>
      <c r="G2" s="10" t="s">
        <v>37</v>
      </c>
      <c r="H2" s="10">
        <v>8480790090</v>
      </c>
      <c r="I2" s="10">
        <v>84807190</v>
      </c>
      <c r="J2" s="10" t="s">
        <v>38</v>
      </c>
      <c r="K2" s="13"/>
      <c r="L2" s="14" t="s">
        <v>39</v>
      </c>
      <c r="M2" s="15" t="s">
        <v>37</v>
      </c>
      <c r="N2" s="15" t="s">
        <v>37</v>
      </c>
      <c r="O2" s="10" t="s">
        <v>40</v>
      </c>
      <c r="P2" s="15" t="s">
        <v>41</v>
      </c>
      <c r="Q2" s="15" t="s">
        <v>42</v>
      </c>
      <c r="R2" s="13"/>
      <c r="S2" s="13"/>
      <c r="T2" s="13">
        <v>1</v>
      </c>
      <c r="U2" s="18">
        <v>38000</v>
      </c>
      <c r="V2" s="19">
        <f>ROUND(U2/1.13*1.08/7.1265,4)</f>
        <v>5096.2722</v>
      </c>
      <c r="W2" s="20">
        <f>ROUND(V2*T2,2)</f>
        <v>5096.27</v>
      </c>
      <c r="X2" s="21" t="s">
        <v>43</v>
      </c>
      <c r="Y2" s="30">
        <v>1</v>
      </c>
      <c r="Z2" s="31">
        <v>303.28</v>
      </c>
      <c r="AA2" s="26">
        <v>282.43</v>
      </c>
      <c r="AB2" s="32" t="s">
        <v>44</v>
      </c>
      <c r="AC2" s="13" t="s">
        <v>45</v>
      </c>
      <c r="AD2" s="15" t="s">
        <v>46</v>
      </c>
      <c r="AE2" s="15" t="s">
        <v>47</v>
      </c>
      <c r="AF2" s="33">
        <f>ROUND(U2/1.13*1.08,4)</f>
        <v>36318.5841</v>
      </c>
    </row>
    <row r="3" s="2" customFormat="1" customHeight="1" spans="1:32">
      <c r="A3" s="13" t="s">
        <v>48</v>
      </c>
      <c r="B3" s="11" t="s">
        <v>49</v>
      </c>
      <c r="C3" s="15" t="s">
        <v>50</v>
      </c>
      <c r="D3" s="13"/>
      <c r="E3" s="13" t="s">
        <v>37</v>
      </c>
      <c r="F3" s="14" t="s">
        <v>51</v>
      </c>
      <c r="G3" s="15" t="s">
        <v>37</v>
      </c>
      <c r="H3" s="13">
        <v>8477900000</v>
      </c>
      <c r="I3" s="13">
        <v>84779039</v>
      </c>
      <c r="J3" s="16" t="s">
        <v>52</v>
      </c>
      <c r="K3" s="13"/>
      <c r="L3" s="14" t="s">
        <v>53</v>
      </c>
      <c r="M3" s="15" t="s">
        <v>37</v>
      </c>
      <c r="N3" s="15" t="s">
        <v>37</v>
      </c>
      <c r="O3" s="15" t="s">
        <v>54</v>
      </c>
      <c r="P3" s="15" t="s">
        <v>41</v>
      </c>
      <c r="Q3" s="15" t="s">
        <v>42</v>
      </c>
      <c r="R3" s="13"/>
      <c r="S3" s="13"/>
      <c r="T3" s="13">
        <v>1</v>
      </c>
      <c r="U3" s="18">
        <v>600</v>
      </c>
      <c r="V3" s="22">
        <f>ROUND(U3/1.13*1.08/7.1265,4)</f>
        <v>80.4675</v>
      </c>
      <c r="W3" s="23">
        <f>ROUND(V3*T3,2)</f>
        <v>80.47</v>
      </c>
      <c r="X3" s="24"/>
      <c r="Y3" s="28"/>
      <c r="Z3" s="34"/>
      <c r="AA3" s="26">
        <v>0.85</v>
      </c>
      <c r="AB3" s="32"/>
      <c r="AC3" s="13" t="s">
        <v>55</v>
      </c>
      <c r="AD3" s="15" t="s">
        <v>56</v>
      </c>
      <c r="AE3" s="15" t="s">
        <v>47</v>
      </c>
      <c r="AF3" s="35">
        <f>ROUND(U3/1.13*1.08,4)</f>
        <v>573.4513</v>
      </c>
    </row>
    <row r="4" customFormat="1" customHeight="1" spans="1:32">
      <c r="A4" s="13" t="s">
        <v>57</v>
      </c>
      <c r="B4" s="11" t="s">
        <v>58</v>
      </c>
      <c r="C4" s="13" t="s">
        <v>37</v>
      </c>
      <c r="D4" s="13"/>
      <c r="E4" s="13" t="s">
        <v>37</v>
      </c>
      <c r="F4" s="13" t="s">
        <v>37</v>
      </c>
      <c r="G4" s="14" t="s">
        <v>59</v>
      </c>
      <c r="H4" s="14"/>
      <c r="I4" s="14"/>
      <c r="J4" s="14"/>
      <c r="K4" s="13"/>
      <c r="L4" s="14"/>
      <c r="M4" s="13"/>
      <c r="N4" s="13"/>
      <c r="O4" s="13"/>
      <c r="P4" s="13"/>
      <c r="Q4" s="13"/>
      <c r="R4" s="13"/>
      <c r="S4" s="13"/>
      <c r="T4" s="13"/>
      <c r="U4" s="18"/>
      <c r="V4" s="25"/>
      <c r="W4" s="26"/>
      <c r="X4" s="27" t="s">
        <v>60</v>
      </c>
      <c r="Y4" s="27"/>
      <c r="Z4" s="26"/>
      <c r="AA4" s="26"/>
      <c r="AB4" s="13"/>
      <c r="AC4" s="13"/>
      <c r="AD4" s="36" t="s">
        <v>61</v>
      </c>
      <c r="AE4" s="13"/>
      <c r="AF4" s="13"/>
    </row>
    <row r="5" customFormat="1" customHeight="1" spans="1:32">
      <c r="A5" s="13" t="s">
        <v>62</v>
      </c>
      <c r="B5" s="13" t="s">
        <v>63</v>
      </c>
      <c r="C5" s="13" t="s">
        <v>37</v>
      </c>
      <c r="D5" s="13"/>
      <c r="E5" s="13" t="s">
        <v>37</v>
      </c>
      <c r="F5" s="13" t="s">
        <v>37</v>
      </c>
      <c r="G5" s="14" t="s">
        <v>64</v>
      </c>
      <c r="H5" s="14"/>
      <c r="I5" s="14"/>
      <c r="J5" s="14"/>
      <c r="K5" s="13"/>
      <c r="L5" s="14"/>
      <c r="M5" s="13"/>
      <c r="N5" s="13"/>
      <c r="O5" s="13"/>
      <c r="P5" s="13"/>
      <c r="Q5" s="13"/>
      <c r="R5" s="13"/>
      <c r="S5" s="13"/>
      <c r="T5" s="13"/>
      <c r="U5" s="18"/>
      <c r="V5" s="25"/>
      <c r="W5" s="26"/>
      <c r="X5" s="28"/>
      <c r="Y5" s="28"/>
      <c r="Z5" s="26"/>
      <c r="AA5" s="26"/>
      <c r="AB5" s="13"/>
      <c r="AC5" s="13"/>
      <c r="AD5" s="28"/>
      <c r="AE5" s="13"/>
      <c r="AF5" s="13"/>
    </row>
    <row r="6" customHeight="1" spans="11:27">
      <c r="K6" s="17"/>
      <c r="T6" s="3">
        <f>SUM(T2:T3)</f>
        <v>2</v>
      </c>
      <c r="V6" s="6">
        <f>SUM(V2:V3)</f>
        <v>5176.7397</v>
      </c>
      <c r="W6" s="7">
        <f>SUM(W2:W3)</f>
        <v>5176.74</v>
      </c>
      <c r="Y6" s="3">
        <f>SUM(Y2:Y3)</f>
        <v>1</v>
      </c>
      <c r="Z6" s="7">
        <f>SUM(Z2:Z3)</f>
        <v>303.28</v>
      </c>
      <c r="AA6" s="7">
        <f>SUM(AA2:AA3)</f>
        <v>283.28</v>
      </c>
    </row>
  </sheetData>
  <autoFilter ref="A1:AF6">
    <extLst/>
  </autoFilter>
  <mergeCells count="7">
    <mergeCell ref="X2:X3"/>
    <mergeCell ref="X4:X5"/>
    <mergeCell ref="Y2:Y3"/>
    <mergeCell ref="Y4:Y5"/>
    <mergeCell ref="Z2:Z3"/>
    <mergeCell ref="AB2:AB3"/>
    <mergeCell ref="AD4:AD5"/>
  </mergeCells>
  <pageMargins left="0.118055555555556" right="0.0777777777777778" top="0.747916666666667" bottom="0.747916666666667" header="0.313888888888889" footer="0.313888888888889"/>
  <pageSetup paperSize="8" scale="75" orientation="landscape" horizontalDpi="600"/>
  <headerFooter/>
  <drawing r:id="rId1"/>
</worksheet>
</file>

<file path=docProps/app.xml><?xml version="1.0" encoding="utf-8"?>
<Properties xmlns="http://schemas.openxmlformats.org/officeDocument/2006/extended-properties" xmlns:vt="http://schemas.openxmlformats.org/officeDocument/2006/docPropsVTypes">
  <Company>Lenovo</Company>
  <Application>Microsoft Excel</Application>
  <HeadingPairs>
    <vt:vector size="2" baseType="variant">
      <vt:variant>
        <vt:lpstr>工作表</vt:lpstr>
      </vt:variant>
      <vt:variant>
        <vt:i4>1</vt:i4>
      </vt:variant>
    </vt:vector>
  </HeadingPairs>
  <TitlesOfParts>
    <vt:vector size="1" baseType="lpstr">
      <vt:lpstr>M20240701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jbcheng</dc:creator>
  <cp:lastModifiedBy>MSD03</cp:lastModifiedBy>
  <dcterms:created xsi:type="dcterms:W3CDTF">2021-07-22T02:15:00Z</dcterms:created>
  <cp:lastPrinted>2021-07-22T06:54:00Z</cp:lastPrinted>
  <dcterms:modified xsi:type="dcterms:W3CDTF">2024-07-10T03:22:12Z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2052-11.1.0.11636</vt:lpwstr>
  </property>
  <property fmtid="{D5CDD505-2E9C-101B-9397-08002B2CF9AE}" pid="3" name="ICV">
    <vt:lpwstr>06EA9E1B3E5344498529469E14E1867E</vt:lpwstr>
  </property>
</Properties>
</file>