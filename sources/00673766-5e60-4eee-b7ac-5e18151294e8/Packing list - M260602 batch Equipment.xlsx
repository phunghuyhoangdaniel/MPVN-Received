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602" sheetId="1" state="visible" r:id="rId3"/>
  </sheets>
  <definedNames>
    <definedName function="false" hidden="true" localSheetId="0" name="_xlnm._FilterDatabase" vbProcedure="false">M20260602!$A$1:$AH$10</definedName>
  </definedNames>
  <calcPr iterateCount="1" refMode="A1" iterate="true" iterateDelta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<sst xmlns="http://schemas.openxmlformats.org/spreadsheetml/2006/main" count="181" uniqueCount="77">
  <si>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</si>
  <si>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</si>
  <si>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</si>
  <si>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</si>
  <si>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</si>
  <si>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</si>
  <si>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</si>
  <si>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</si>
  <si>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</si>
  <si>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</si>
  <si>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</si>
  <si>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</si>
  <si>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</si>
  <si>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</si>
  <si>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</si>
  <si>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</si>
  <si>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</si>
  <si>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</si>
  <si>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</si>
  <si>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</si>
  <si>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</si>
  <si>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</si>
  <si>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</si>
  <si>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</si>
  <si>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</si>
  <si>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</si>
  <si>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</si>
  <si>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</si>
  <si>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</si>
  <si>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</si>
  <si>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</si>
  <si>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</si>
  <si>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LABEL PAPER</t>
  </si>
  <si>
    <t xml:space="preserve">Giấy nhãn - in tem nhãn cho hệ thống MATTRACE - Giấy</t>
  </si>
  <si>
    <t xml:space="preserve">USED TO PRINT MATTRACE STAMPS</t>
  </si>
  <si>
    <t xml:space="preserve">标签纸</t>
  </si>
  <si>
    <t xml:space="preserve">SHENZHEN SHENGTIANXIN PRINTING CO., LTD</t>
  </si>
  <si>
    <t xml:space="preserve">40*60mm</t>
  </si>
  <si>
    <t xml:space="preserve">/</t>
  </si>
  <si>
    <t xml:space="preserve">010-145-05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</si>
  <si>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纸制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未印刷</t>
    </r>
    <r>
      <rPr>
        <sz val="10"/>
        <color rgb="FF000000"/>
        <rFont val="Arial"/>
        <family val="0"/>
        <charset val="134"/>
      </rPr>
      <t xml:space="preserve">|40*60MM</t>
    </r>
  </si>
  <si>
    <t xml:space="preserve">PAPER</t>
  </si>
  <si>
    <t xml:space="preserve">2026.06.05</t>
  </si>
  <si>
    <t xml:space="preserve">CHINA</t>
  </si>
  <si>
    <t xml:space="preserve">NEW</t>
  </si>
  <si>
    <t xml:space="preserve">M1</t>
  </si>
  <si>
    <t xml:space="preserve">45*32*30</t>
  </si>
  <si>
    <t xml:space="preserve">4*6</t>
  </si>
  <si>
    <t xml:space="preserve">NO</t>
  </si>
  <si>
    <t xml:space="preserve">SMT PRINTING NET</t>
  </si>
  <si>
    <t xml:space="preserve">Khuôn in SMT (SP-404MK3P PANEL A) - in kem hàn trong sản xuất SMT - Thép + Nhôm</t>
  </si>
  <si>
    <t xml:space="preserve">SMT</t>
  </si>
  <si>
    <t xml:space="preserve">SMT印刷网</t>
  </si>
  <si>
    <t xml:space="preserve">SHENZHEN CHANGKE EXCELLENCE TECHNOLOGY CO., LTD</t>
  </si>
  <si>
    <t xml:space="preserve">SP-404MK3P PANEl  A</t>
  </si>
  <si>
    <t xml:space="preserve">100-25001-02-00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</si>
  <si>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宋体"/>
        <family val="0"/>
        <charset val="134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切割</t>
    </r>
    <r>
      <rPr>
        <sz val="10"/>
        <color rgb="FF000000"/>
        <rFont val="Arial"/>
        <family val="0"/>
        <charset val="134"/>
      </rPr>
      <t xml:space="preserve">|55*65*3CM</t>
    </r>
  </si>
  <si>
    <t xml:space="preserve">STEEL+AL</t>
  </si>
  <si>
    <t xml:space="preserve">2026.06.01</t>
  </si>
  <si>
    <t xml:space="preserve">U1</t>
  </si>
  <si>
    <t xml:space="preserve">57*67*25CM</t>
  </si>
  <si>
    <t xml:space="preserve">55*65*3</t>
  </si>
  <si>
    <t xml:space="preserve">Khuôn in SMT (SP-404MK3P SENSOR) - in kem hàn trong sản xuất SMT - Thép + Nhôm</t>
  </si>
  <si>
    <t xml:space="preserve">SP-404MK3P SENSOR</t>
  </si>
  <si>
    <t xml:space="preserve">100-25001-03-00</t>
  </si>
  <si>
    <t xml:space="preserve">Khuôn in SMT (SP-404MK3 PANEL B) - in kem hàn trong sản xuất SMT - Thép + Nhôm</t>
  </si>
  <si>
    <t xml:space="preserve">SP-404MK3  PANEl  B</t>
  </si>
  <si>
    <t xml:space="preserve">100-25002-02-00</t>
  </si>
  <si>
    <t xml:space="preserve">Khuôn in SMT (SP-404MK3P MAIN B) - in kem hàn trong sản xuất SMT - Thép + Nhôm</t>
  </si>
  <si>
    <t xml:space="preserve">SP-404MK3P MAIN B</t>
  </si>
  <si>
    <t xml:space="preserve">101-25001-01-00</t>
  </si>
  <si>
    <t xml:space="preserve">Khuôn in SMT (SP-404MK3P MAIN A) - in kem hàn trong sản xuất SMT - Thép + Nhôm</t>
  </si>
  <si>
    <t xml:space="preserve">SP-404MK3P  MAIN  A</t>
  </si>
  <si>
    <t xml:space="preserve">Khuôn in SMT (SP-404MK3P PANEL B) - in kem hàn trong sản xuất SMT - Thép + Nhôm</t>
  </si>
  <si>
    <t xml:space="preserve">SP-404MK3P PANEl  B</t>
  </si>
  <si>
    <t xml:space="preserve">Khuôn in SMT (SP-404MK3 PANEL A) - in kem hàn trong sản xuất SMT - Thép + Nhôm</t>
  </si>
  <si>
    <t xml:space="preserve">SP-404MK3 PANEl  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</si>
</sst>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3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Relationship Id="rId13" Type="http://schemas.openxmlformats.org/officeDocument/2006/relationships/image" Target="../media/image7.png"/><Relationship Id="rId14" Type="http://schemas.openxmlformats.org/officeDocument/2006/relationships/image" Target="../media/image8.png"/><Relationship Id="rId15" Type="http://schemas.openxmlformats.org/officeDocument/2006/relationships/image" Target="../media/image9.png"/><Relationship Id="rId16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238680</xdr:colOff>
      <xdr:row>1</xdr:row>
      <xdr:rowOff>79200</xdr:rowOff>
    </xdr:from>
    <xdr:to>
      <xdr:col>19</xdr:col>
      <xdr:colOff>756360</xdr:colOff>
      <xdr:row>1</xdr:row>
      <xdr:rowOff>459720</xdr:rowOff>
    </xdr:to>
    <xdr:pic>
      <xdr:nvPicPr>
        <xdr:cNvPr id="0" name="图片 3" descr=""/>
        <xdr:cNvPicPr/>
      </xdr:nvPicPr>
      <xdr:blipFill>
        <a:blip r:embed="rId1"/>
        <a:stretch/>
      </xdr:blipFill>
      <xdr:spPr>
        <a:xfrm>
          <a:off x="21500280" y="660240"/>
          <a:ext cx="517680" cy="380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2</xdr:row>
      <xdr:rowOff>0</xdr:rowOff>
    </xdr:from>
    <xdr:to>
      <xdr:col>19</xdr:col>
      <xdr:colOff>971280</xdr:colOff>
      <xdr:row>2</xdr:row>
      <xdr:rowOff>532800</xdr:rowOff>
    </xdr:to>
    <xdr:pic>
      <xdr:nvPicPr>
        <xdr:cNvPr id="1" name="图片 1" descr=""/>
        <xdr:cNvPicPr/>
      </xdr:nvPicPr>
      <xdr:blipFill>
        <a:blip r:embed="rId2"/>
        <a:stretch/>
      </xdr:blipFill>
      <xdr:spPr>
        <a:xfrm>
          <a:off x="21261600" y="1114560"/>
          <a:ext cx="97128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205920</xdr:colOff>
      <xdr:row>3</xdr:row>
      <xdr:rowOff>102240</xdr:rowOff>
    </xdr:from>
    <xdr:to>
      <xdr:col>19</xdr:col>
      <xdr:colOff>981720</xdr:colOff>
      <xdr:row>3</xdr:row>
      <xdr:rowOff>524520</xdr:rowOff>
    </xdr:to>
    <xdr:pic>
      <xdr:nvPicPr>
        <xdr:cNvPr id="2" name="图片 2" descr=""/>
        <xdr:cNvPicPr/>
      </xdr:nvPicPr>
      <xdr:blipFill>
        <a:blip r:embed="rId3"/>
        <a:stretch/>
      </xdr:blipFill>
      <xdr:spPr>
        <a:xfrm>
          <a:off x="21467520" y="1749960"/>
          <a:ext cx="775800" cy="4222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299160</xdr:colOff>
      <xdr:row>4</xdr:row>
      <xdr:rowOff>121320</xdr:rowOff>
    </xdr:from>
    <xdr:to>
      <xdr:col>19</xdr:col>
      <xdr:colOff>979560</xdr:colOff>
      <xdr:row>4</xdr:row>
      <xdr:rowOff>520200</xdr:rowOff>
    </xdr:to>
    <xdr:pic>
      <xdr:nvPicPr>
        <xdr:cNvPr id="3" name="图片 4" descr=""/>
        <xdr:cNvPicPr/>
      </xdr:nvPicPr>
      <xdr:blipFill>
        <a:blip r:embed="rId4"/>
        <a:stretch/>
      </xdr:blipFill>
      <xdr:spPr>
        <a:xfrm>
          <a:off x="21560760" y="2302560"/>
          <a:ext cx="680400" cy="398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219600</xdr:colOff>
      <xdr:row>5</xdr:row>
      <xdr:rowOff>146160</xdr:rowOff>
    </xdr:from>
    <xdr:to>
      <xdr:col>19</xdr:col>
      <xdr:colOff>974880</xdr:colOff>
      <xdr:row>5</xdr:row>
      <xdr:rowOff>521640</xdr:rowOff>
    </xdr:to>
    <xdr:pic>
      <xdr:nvPicPr>
        <xdr:cNvPr id="4" name="图片 5" descr=""/>
        <xdr:cNvPicPr/>
      </xdr:nvPicPr>
      <xdr:blipFill>
        <a:blip r:embed="rId5"/>
        <a:stretch/>
      </xdr:blipFill>
      <xdr:spPr>
        <a:xfrm>
          <a:off x="21481200" y="2860920"/>
          <a:ext cx="755280" cy="3754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219600</xdr:colOff>
      <xdr:row>6</xdr:row>
      <xdr:rowOff>146160</xdr:rowOff>
    </xdr:from>
    <xdr:to>
      <xdr:col>19</xdr:col>
      <xdr:colOff>975240</xdr:colOff>
      <xdr:row>6</xdr:row>
      <xdr:rowOff>522000</xdr:rowOff>
    </xdr:to>
    <xdr:pic>
      <xdr:nvPicPr>
        <xdr:cNvPr id="5" name="图片 6" descr=""/>
        <xdr:cNvPicPr/>
      </xdr:nvPicPr>
      <xdr:blipFill>
        <a:blip r:embed="rId6"/>
        <a:stretch/>
      </xdr:blipFill>
      <xdr:spPr>
        <a:xfrm>
          <a:off x="21481200" y="3394080"/>
          <a:ext cx="755640" cy="3758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210240</xdr:colOff>
      <xdr:row>7</xdr:row>
      <xdr:rowOff>174600</xdr:rowOff>
    </xdr:from>
    <xdr:to>
      <xdr:col>19</xdr:col>
      <xdr:colOff>908640</xdr:colOff>
      <xdr:row>7</xdr:row>
      <xdr:rowOff>522360</xdr:rowOff>
    </xdr:to>
    <xdr:pic>
      <xdr:nvPicPr>
        <xdr:cNvPr id="6" name="图片 7" descr=""/>
        <xdr:cNvPicPr/>
      </xdr:nvPicPr>
      <xdr:blipFill>
        <a:blip r:embed="rId7"/>
        <a:stretch/>
      </xdr:blipFill>
      <xdr:spPr>
        <a:xfrm>
          <a:off x="21471840" y="3956040"/>
          <a:ext cx="698400" cy="3477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210240</xdr:colOff>
      <xdr:row>8</xdr:row>
      <xdr:rowOff>165240</xdr:rowOff>
    </xdr:from>
    <xdr:to>
      <xdr:col>19</xdr:col>
      <xdr:colOff>926640</xdr:colOff>
      <xdr:row>8</xdr:row>
      <xdr:rowOff>521640</xdr:rowOff>
    </xdr:to>
    <xdr:pic>
      <xdr:nvPicPr>
        <xdr:cNvPr id="7" name="图片 8" descr=""/>
        <xdr:cNvPicPr/>
      </xdr:nvPicPr>
      <xdr:blipFill>
        <a:blip r:embed="rId8"/>
        <a:stretch/>
      </xdr:blipFill>
      <xdr:spPr>
        <a:xfrm>
          <a:off x="21471840" y="4480200"/>
          <a:ext cx="716400" cy="3564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838080</xdr:colOff>
      <xdr:row>2</xdr:row>
      <xdr:rowOff>104760</xdr:rowOff>
    </xdr:from>
    <xdr:to>
      <xdr:col>20</xdr:col>
      <xdr:colOff>1343520</xdr:colOff>
      <xdr:row>2</xdr:row>
      <xdr:rowOff>322200</xdr:rowOff>
    </xdr:to>
    <xdr:pic>
      <xdr:nvPicPr>
        <xdr:cNvPr id="8" name="图片 9" descr=""/>
        <xdr:cNvPicPr/>
      </xdr:nvPicPr>
      <xdr:blipFill>
        <a:blip r:embed="rId9"/>
        <a:stretch/>
      </xdr:blipFill>
      <xdr:spPr>
        <a:xfrm>
          <a:off x="23095440" y="1219320"/>
          <a:ext cx="505440" cy="2174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824760</xdr:colOff>
      <xdr:row>3</xdr:row>
      <xdr:rowOff>123840</xdr:rowOff>
    </xdr:from>
    <xdr:to>
      <xdr:col>20</xdr:col>
      <xdr:colOff>1326240</xdr:colOff>
      <xdr:row>3</xdr:row>
      <xdr:rowOff>340200</xdr:rowOff>
    </xdr:to>
    <xdr:pic>
      <xdr:nvPicPr>
        <xdr:cNvPr id="9" name="图片 10" descr=""/>
        <xdr:cNvPicPr/>
      </xdr:nvPicPr>
      <xdr:blipFill>
        <a:blip r:embed="rId10"/>
        <a:stretch/>
      </xdr:blipFill>
      <xdr:spPr>
        <a:xfrm>
          <a:off x="23082120" y="1771560"/>
          <a:ext cx="501480" cy="216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837000</xdr:colOff>
      <xdr:row>4</xdr:row>
      <xdr:rowOff>146160</xdr:rowOff>
    </xdr:from>
    <xdr:to>
      <xdr:col>20</xdr:col>
      <xdr:colOff>1332720</xdr:colOff>
      <xdr:row>4</xdr:row>
      <xdr:rowOff>346320</xdr:rowOff>
    </xdr:to>
    <xdr:pic>
      <xdr:nvPicPr>
        <xdr:cNvPr id="10" name="图片 11" descr=""/>
        <xdr:cNvPicPr/>
      </xdr:nvPicPr>
      <xdr:blipFill>
        <a:blip r:embed="rId11"/>
        <a:stretch/>
      </xdr:blipFill>
      <xdr:spPr>
        <a:xfrm>
          <a:off x="23094360" y="2327400"/>
          <a:ext cx="495720" cy="200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856080</xdr:colOff>
      <xdr:row>5</xdr:row>
      <xdr:rowOff>108720</xdr:rowOff>
    </xdr:from>
    <xdr:to>
      <xdr:col>20</xdr:col>
      <xdr:colOff>1306800</xdr:colOff>
      <xdr:row>5</xdr:row>
      <xdr:rowOff>331200</xdr:rowOff>
    </xdr:to>
    <xdr:pic>
      <xdr:nvPicPr>
        <xdr:cNvPr id="11" name="图片 12" descr=""/>
        <xdr:cNvPicPr/>
      </xdr:nvPicPr>
      <xdr:blipFill>
        <a:blip r:embed="rId12"/>
        <a:stretch/>
      </xdr:blipFill>
      <xdr:spPr>
        <a:xfrm>
          <a:off x="23113440" y="2823480"/>
          <a:ext cx="450720" cy="2224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807120</xdr:colOff>
      <xdr:row>6</xdr:row>
      <xdr:rowOff>137160</xdr:rowOff>
    </xdr:from>
    <xdr:to>
      <xdr:col>20</xdr:col>
      <xdr:colOff>1312200</xdr:colOff>
      <xdr:row>6</xdr:row>
      <xdr:rowOff>369000</xdr:rowOff>
    </xdr:to>
    <xdr:pic>
      <xdr:nvPicPr>
        <xdr:cNvPr id="12" name="图片 13" descr=""/>
        <xdr:cNvPicPr/>
      </xdr:nvPicPr>
      <xdr:blipFill>
        <a:blip r:embed="rId13"/>
        <a:stretch/>
      </xdr:blipFill>
      <xdr:spPr>
        <a:xfrm>
          <a:off x="23064480" y="3385080"/>
          <a:ext cx="505080" cy="2318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832320</xdr:colOff>
      <xdr:row>7</xdr:row>
      <xdr:rowOff>137880</xdr:rowOff>
    </xdr:from>
    <xdr:to>
      <xdr:col>20</xdr:col>
      <xdr:colOff>1331280</xdr:colOff>
      <xdr:row>7</xdr:row>
      <xdr:rowOff>349200</xdr:rowOff>
    </xdr:to>
    <xdr:pic>
      <xdr:nvPicPr>
        <xdr:cNvPr id="13" name="图片 14" descr=""/>
        <xdr:cNvPicPr/>
      </xdr:nvPicPr>
      <xdr:blipFill>
        <a:blip r:embed="rId14"/>
        <a:stretch/>
      </xdr:blipFill>
      <xdr:spPr>
        <a:xfrm>
          <a:off x="23089680" y="3919320"/>
          <a:ext cx="498960" cy="2113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803880</xdr:colOff>
      <xdr:row>8</xdr:row>
      <xdr:rowOff>124920</xdr:rowOff>
    </xdr:from>
    <xdr:to>
      <xdr:col>20</xdr:col>
      <xdr:colOff>1342800</xdr:colOff>
      <xdr:row>8</xdr:row>
      <xdr:rowOff>353520</xdr:rowOff>
    </xdr:to>
    <xdr:pic>
      <xdr:nvPicPr>
        <xdr:cNvPr id="14" name="图片 15" descr=""/>
        <xdr:cNvPicPr/>
      </xdr:nvPicPr>
      <xdr:blipFill>
        <a:blip r:embed="rId15"/>
        <a:stretch/>
      </xdr:blipFill>
      <xdr:spPr>
        <a:xfrm>
          <a:off x="23061240" y="4439880"/>
          <a:ext cx="538920" cy="228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751680</xdr:colOff>
      <xdr:row>1</xdr:row>
      <xdr:rowOff>155520</xdr:rowOff>
    </xdr:from>
    <xdr:to>
      <xdr:col>20</xdr:col>
      <xdr:colOff>1470600</xdr:colOff>
      <xdr:row>1</xdr:row>
      <xdr:rowOff>403560</xdr:rowOff>
    </xdr:to>
    <xdr:pic>
      <xdr:nvPicPr>
        <xdr:cNvPr id="15" name="图片 17" descr=""/>
        <xdr:cNvPicPr/>
      </xdr:nvPicPr>
      <xdr:blipFill>
        <a:blip r:embed="rId16"/>
        <a:stretch/>
      </xdr:blipFill>
      <xdr:spPr>
        <a:xfrm>
          <a:off x="23009040" y="736560"/>
          <a:ext cx="718920" cy="24804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D9" activeCellId="0" sqref="D9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48"/>
    <col collapsed="false" customWidth="true" hidden="false" outlineLevel="0" max="3" min="3" style="2" width="22.92"/>
    <col collapsed="false" customWidth="true" hidden="false" outlineLevel="0" max="4" min="4" style="2" width="17.76"/>
    <col collapsed="false" customWidth="true" hidden="false" outlineLevel="0" max="5" min="5" style="2" width="38.87"/>
    <col collapsed="false" customWidth="false" hidden="true" outlineLevel="0" max="6" min="6" style="2" width="9.02"/>
    <col collapsed="false" customWidth="true" hidden="false" outlineLevel="0" max="7" min="7" style="2" width="20.37"/>
    <col collapsed="false" customWidth="true" hidden="false" outlineLevel="0" max="8" min="8" style="2" width="14.63"/>
    <col collapsed="false" customWidth="true" hidden="fals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9.26"/>
    <col collapsed="false" customWidth="true" hidden="true" outlineLevel="0" max="13" min="13" style="3" width="17.13"/>
    <col collapsed="false" customWidth="true" hidden="false" outlineLevel="0" max="14" min="14" style="3" width="22.93"/>
    <col collapsed="false" customWidth="true" hidden="false" outlineLevel="0" max="16" min="15" style="2" width="14.14"/>
    <col collapsed="false" customWidth="true" hidden="false" outlineLevel="0" max="17" min="17" style="2" width="12"/>
    <col collapsed="false" customWidth="true" hidden="false" outlineLevel="0" max="18" min="18" style="2" width="15.88"/>
    <col collapsed="false" customWidth="true" hidden="false" outlineLevel="0" max="19" min="19" style="2" width="15.76"/>
    <col collapsed="false" customWidth="true" hidden="false" outlineLevel="0" max="20" min="20" style="2" width="14.26"/>
    <col collapsed="false" customWidth="true" hidden="false" outlineLevel="0" max="21" min="21" style="2" width="28.75"/>
    <col collapsed="false" customWidth="true" hidden="false" outlineLevel="0" max="22" min="22" style="2" width="14.27"/>
    <col collapsed="false" customWidth="true" hidden="fals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false" outlineLevel="0" max="27" min="27" style="1" width="10.63"/>
    <col collapsed="false" customWidth="true" hidden="false" outlineLevel="0" max="28" min="28" style="6" width="11.63"/>
    <col collapsed="false" customWidth="true" hidden="false" outlineLevel="0" max="29" min="29" style="5" width="11.63"/>
    <col collapsed="false" customWidth="true" hidden="false" outlineLevel="0" max="30" min="30" style="1" width="19.63"/>
    <col collapsed="false" customWidth="true" hidden="false" outlineLevel="0" max="31" min="31" style="2" width="18.13"/>
    <col collapsed="false" customWidth="true" hidden="false" outlineLevel="0" max="32" min="32" style="2" width="22.92"/>
    <col collapsed="false" customWidth="true" hidden="false" outlineLevel="0" max="33" min="33" style="2" width="17"/>
    <col collapsed="false" customWidth="true" hidden="false" outlineLevel="0" max="34" min="34" style="2" width="11.46"/>
    <col collapsed="false" customWidth="true" hidden="false" outlineLevel="0" max="35" min="35" style="2" width="14.87"/>
    <col collapsed="false" customWidth="false" hidden="false" outlineLevel="0" max="16384" min="36" style="2" width="9"/>
  </cols>
  <sheetData>
    <row r="1" s="12" customFormat="tru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9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10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1</v>
      </c>
      <c r="AG1" s="8" t="s">
        <v>30</v>
      </c>
      <c r="AH1" s="11" t="s">
        <v>31</v>
      </c>
    </row>
    <row r="2" customFormat="false" ht="42" hidden="false" customHeight="true" outlineLevel="0" collapsed="false">
      <c r="A2" s="13" t="s">
        <v>32</v>
      </c>
      <c r="B2" s="13" t="s">
        <v>33</v>
      </c>
      <c r="C2" s="14" t="s">
        <v>34</v>
      </c>
      <c r="D2" s="15" t="s">
        <v>35</v>
      </c>
      <c r="E2" s="14" t="s">
        <v>36</v>
      </c>
      <c r="F2" s="16"/>
      <c r="G2" s="14" t="s">
        <v>37</v>
      </c>
      <c r="H2" s="14" t="s">
        <v>38</v>
      </c>
      <c r="I2" s="14" t="s">
        <v>39</v>
      </c>
      <c r="J2" s="13" t="n">
        <v>4821100000</v>
      </c>
      <c r="K2" s="13" t="n">
        <v>48211090</v>
      </c>
      <c r="L2" s="17" t="s">
        <v>40</v>
      </c>
      <c r="M2" s="16"/>
      <c r="N2" s="18" t="s">
        <v>41</v>
      </c>
      <c r="O2" s="18" t="s">
        <v>38</v>
      </c>
      <c r="P2" s="18" t="s">
        <v>38</v>
      </c>
      <c r="Q2" s="19" t="s">
        <v>42</v>
      </c>
      <c r="R2" s="18" t="s">
        <v>43</v>
      </c>
      <c r="S2" s="18" t="s">
        <v>44</v>
      </c>
      <c r="T2" s="20"/>
      <c r="U2" s="18"/>
      <c r="V2" s="18" t="n">
        <v>200</v>
      </c>
      <c r="W2" s="21" t="n">
        <v>27.6</v>
      </c>
      <c r="X2" s="22" t="n">
        <f aca="false">ROUND(W2/1.13*1.08/6.8167,4)</f>
        <v>3.8697</v>
      </c>
      <c r="Y2" s="23" t="n">
        <f aca="false">ROUND(X2*V2,2)</f>
        <v>773.94</v>
      </c>
      <c r="Z2" s="24" t="s">
        <v>45</v>
      </c>
      <c r="AA2" s="24" t="n">
        <v>1</v>
      </c>
      <c r="AB2" s="23" t="n">
        <v>22.2</v>
      </c>
      <c r="AC2" s="23" t="n">
        <v>21.5</v>
      </c>
      <c r="AD2" s="24" t="s">
        <v>46</v>
      </c>
      <c r="AE2" s="18" t="s">
        <v>47</v>
      </c>
      <c r="AF2" s="14" t="s">
        <v>34</v>
      </c>
      <c r="AG2" s="25" t="s">
        <v>48</v>
      </c>
      <c r="AH2" s="26" t="n">
        <f aca="false">ROUND(W2/1.13*1.08,4)</f>
        <v>26.3788</v>
      </c>
    </row>
    <row r="3" customFormat="false" ht="42" hidden="false" customHeight="true" outlineLevel="0" collapsed="false">
      <c r="A3" s="13" t="s">
        <v>49</v>
      </c>
      <c r="B3" s="13" t="s">
        <v>50</v>
      </c>
      <c r="C3" s="14" t="s">
        <v>51</v>
      </c>
      <c r="D3" s="15" t="s">
        <v>52</v>
      </c>
      <c r="E3" s="14" t="s">
        <v>53</v>
      </c>
      <c r="F3" s="16"/>
      <c r="G3" s="14" t="s">
        <v>54</v>
      </c>
      <c r="H3" s="14" t="s">
        <v>38</v>
      </c>
      <c r="I3" s="14" t="s">
        <v>55</v>
      </c>
      <c r="J3" s="13" t="n">
        <v>7314490000</v>
      </c>
      <c r="K3" s="13" t="n">
        <v>73144900</v>
      </c>
      <c r="L3" s="27" t="s">
        <v>56</v>
      </c>
      <c r="M3" s="16"/>
      <c r="N3" s="18" t="s">
        <v>57</v>
      </c>
      <c r="O3" s="18" t="s">
        <v>38</v>
      </c>
      <c r="P3" s="18" t="s">
        <v>38</v>
      </c>
      <c r="Q3" s="28" t="s">
        <v>58</v>
      </c>
      <c r="R3" s="18" t="s">
        <v>43</v>
      </c>
      <c r="S3" s="18" t="s">
        <v>44</v>
      </c>
      <c r="T3" s="20"/>
      <c r="U3" s="18"/>
      <c r="V3" s="18" t="n">
        <v>1</v>
      </c>
      <c r="W3" s="21" t="n">
        <v>270</v>
      </c>
      <c r="X3" s="22" t="n">
        <f aca="false">ROUND(W3/1.13*1.08/6.8167,4)</f>
        <v>37.856</v>
      </c>
      <c r="Y3" s="23" t="n">
        <f aca="false">ROUND(X3*V3,2)</f>
        <v>37.86</v>
      </c>
      <c r="Z3" s="24" t="s">
        <v>59</v>
      </c>
      <c r="AA3" s="24" t="n">
        <v>1</v>
      </c>
      <c r="AB3" s="29" t="n">
        <v>8</v>
      </c>
      <c r="AC3" s="13" t="n">
        <v>1</v>
      </c>
      <c r="AD3" s="24" t="s">
        <v>60</v>
      </c>
      <c r="AE3" s="13" t="s">
        <v>61</v>
      </c>
      <c r="AF3" s="14" t="s">
        <v>51</v>
      </c>
      <c r="AG3" s="25" t="s">
        <v>48</v>
      </c>
      <c r="AH3" s="22" t="n">
        <f aca="false">ROUND(W3/1.13*1.08,4)</f>
        <v>258.0531</v>
      </c>
    </row>
    <row r="4" customFormat="false" ht="42" hidden="false" customHeight="true" outlineLevel="0" collapsed="false">
      <c r="A4" s="13" t="s">
        <v>49</v>
      </c>
      <c r="B4" s="13" t="s">
        <v>62</v>
      </c>
      <c r="C4" s="14" t="s">
        <v>51</v>
      </c>
      <c r="D4" s="15" t="s">
        <v>52</v>
      </c>
      <c r="E4" s="14" t="s">
        <v>53</v>
      </c>
      <c r="F4" s="16"/>
      <c r="G4" s="14" t="s">
        <v>63</v>
      </c>
      <c r="H4" s="14" t="s">
        <v>38</v>
      </c>
      <c r="I4" s="14" t="s">
        <v>64</v>
      </c>
      <c r="J4" s="13" t="n">
        <v>7314490000</v>
      </c>
      <c r="K4" s="13" t="n">
        <v>73144900</v>
      </c>
      <c r="L4" s="27" t="s">
        <v>56</v>
      </c>
      <c r="M4" s="16"/>
      <c r="N4" s="18" t="s">
        <v>57</v>
      </c>
      <c r="O4" s="18" t="s">
        <v>38</v>
      </c>
      <c r="P4" s="18" t="s">
        <v>38</v>
      </c>
      <c r="Q4" s="28" t="s">
        <v>58</v>
      </c>
      <c r="R4" s="18" t="s">
        <v>43</v>
      </c>
      <c r="S4" s="18" t="s">
        <v>44</v>
      </c>
      <c r="T4" s="20"/>
      <c r="U4" s="18"/>
      <c r="V4" s="18" t="n">
        <v>1</v>
      </c>
      <c r="W4" s="21" t="n">
        <v>270</v>
      </c>
      <c r="X4" s="22" t="n">
        <f aca="false">ROUND(W4/1.13*1.08/6.8167,4)</f>
        <v>37.856</v>
      </c>
      <c r="Y4" s="23" t="n">
        <f aca="false">ROUND(X4*V4,2)</f>
        <v>37.86</v>
      </c>
      <c r="Z4" s="24"/>
      <c r="AA4" s="24"/>
      <c r="AB4" s="29"/>
      <c r="AC4" s="13" t="n">
        <v>1</v>
      </c>
      <c r="AD4" s="24"/>
      <c r="AE4" s="13" t="s">
        <v>61</v>
      </c>
      <c r="AF4" s="14" t="s">
        <v>51</v>
      </c>
      <c r="AG4" s="25" t="s">
        <v>48</v>
      </c>
      <c r="AH4" s="22" t="n">
        <f aca="false">ROUND(W4/1.13*1.08,4)</f>
        <v>258.0531</v>
      </c>
    </row>
    <row r="5" customFormat="false" ht="42" hidden="false" customHeight="true" outlineLevel="0" collapsed="false">
      <c r="A5" s="13" t="s">
        <v>49</v>
      </c>
      <c r="B5" s="13" t="s">
        <v>65</v>
      </c>
      <c r="C5" s="14" t="s">
        <v>51</v>
      </c>
      <c r="D5" s="15" t="s">
        <v>52</v>
      </c>
      <c r="E5" s="14" t="s">
        <v>53</v>
      </c>
      <c r="F5" s="16"/>
      <c r="G5" s="14" t="s">
        <v>66</v>
      </c>
      <c r="H5" s="14" t="s">
        <v>38</v>
      </c>
      <c r="I5" s="14" t="s">
        <v>67</v>
      </c>
      <c r="J5" s="13" t="n">
        <v>7314490000</v>
      </c>
      <c r="K5" s="13" t="n">
        <v>73144900</v>
      </c>
      <c r="L5" s="27" t="s">
        <v>56</v>
      </c>
      <c r="M5" s="16"/>
      <c r="N5" s="18" t="s">
        <v>57</v>
      </c>
      <c r="O5" s="18" t="s">
        <v>38</v>
      </c>
      <c r="P5" s="18" t="s">
        <v>38</v>
      </c>
      <c r="Q5" s="28" t="s">
        <v>58</v>
      </c>
      <c r="R5" s="18" t="s">
        <v>43</v>
      </c>
      <c r="S5" s="18" t="s">
        <v>44</v>
      </c>
      <c r="T5" s="20"/>
      <c r="U5" s="18"/>
      <c r="V5" s="18" t="n">
        <v>1</v>
      </c>
      <c r="W5" s="21" t="n">
        <v>270</v>
      </c>
      <c r="X5" s="22" t="n">
        <f aca="false">ROUND(W5/1.13*1.08/6.8167,4)</f>
        <v>37.856</v>
      </c>
      <c r="Y5" s="23" t="n">
        <f aca="false">ROUND(X5*V5,2)</f>
        <v>37.86</v>
      </c>
      <c r="Z5" s="24"/>
      <c r="AA5" s="24"/>
      <c r="AB5" s="29"/>
      <c r="AC5" s="13" t="n">
        <v>1</v>
      </c>
      <c r="AD5" s="24"/>
      <c r="AE5" s="13" t="s">
        <v>61</v>
      </c>
      <c r="AF5" s="14" t="s">
        <v>51</v>
      </c>
      <c r="AG5" s="25" t="s">
        <v>48</v>
      </c>
      <c r="AH5" s="22" t="n">
        <f aca="false">ROUND(W5/1.13*1.08,4)</f>
        <v>258.0531</v>
      </c>
    </row>
    <row r="6" customFormat="false" ht="42" hidden="false" customHeight="true" outlineLevel="0" collapsed="false">
      <c r="A6" s="13" t="s">
        <v>49</v>
      </c>
      <c r="B6" s="13" t="s">
        <v>68</v>
      </c>
      <c r="C6" s="14" t="s">
        <v>51</v>
      </c>
      <c r="D6" s="15" t="s">
        <v>52</v>
      </c>
      <c r="E6" s="14" t="s">
        <v>53</v>
      </c>
      <c r="F6" s="16"/>
      <c r="G6" s="14" t="s">
        <v>69</v>
      </c>
      <c r="H6" s="14" t="s">
        <v>38</v>
      </c>
      <c r="I6" s="14" t="s">
        <v>70</v>
      </c>
      <c r="J6" s="13" t="n">
        <v>7314490000</v>
      </c>
      <c r="K6" s="13" t="n">
        <v>73144900</v>
      </c>
      <c r="L6" s="27" t="s">
        <v>56</v>
      </c>
      <c r="M6" s="16"/>
      <c r="N6" s="18" t="s">
        <v>57</v>
      </c>
      <c r="O6" s="18" t="s">
        <v>38</v>
      </c>
      <c r="P6" s="18" t="s">
        <v>38</v>
      </c>
      <c r="Q6" s="28" t="s">
        <v>58</v>
      </c>
      <c r="R6" s="18" t="s">
        <v>43</v>
      </c>
      <c r="S6" s="18" t="s">
        <v>44</v>
      </c>
      <c r="T6" s="20"/>
      <c r="U6" s="18"/>
      <c r="V6" s="18" t="n">
        <v>1</v>
      </c>
      <c r="W6" s="21" t="n">
        <v>270</v>
      </c>
      <c r="X6" s="22" t="n">
        <f aca="false">ROUND(W6/1.13*1.08/6.8167,4)</f>
        <v>37.856</v>
      </c>
      <c r="Y6" s="23" t="n">
        <f aca="false">ROUND(X6*V6,2)</f>
        <v>37.86</v>
      </c>
      <c r="Z6" s="24"/>
      <c r="AA6" s="24"/>
      <c r="AB6" s="29"/>
      <c r="AC6" s="13" t="n">
        <v>1</v>
      </c>
      <c r="AD6" s="24"/>
      <c r="AE6" s="13" t="s">
        <v>61</v>
      </c>
      <c r="AF6" s="14" t="s">
        <v>51</v>
      </c>
      <c r="AG6" s="25" t="s">
        <v>48</v>
      </c>
      <c r="AH6" s="22" t="n">
        <f aca="false">ROUND(W6/1.13*1.08,4)</f>
        <v>258.0531</v>
      </c>
    </row>
    <row r="7" customFormat="false" ht="42" hidden="false" customHeight="true" outlineLevel="0" collapsed="false">
      <c r="A7" s="13" t="s">
        <v>49</v>
      </c>
      <c r="B7" s="13" t="s">
        <v>71</v>
      </c>
      <c r="C7" s="14" t="s">
        <v>51</v>
      </c>
      <c r="D7" s="15" t="s">
        <v>52</v>
      </c>
      <c r="E7" s="14" t="s">
        <v>53</v>
      </c>
      <c r="F7" s="16"/>
      <c r="G7" s="14" t="s">
        <v>72</v>
      </c>
      <c r="H7" s="14" t="s">
        <v>38</v>
      </c>
      <c r="I7" s="14" t="s">
        <v>70</v>
      </c>
      <c r="J7" s="13" t="n">
        <v>7314490000</v>
      </c>
      <c r="K7" s="13" t="n">
        <v>73144900</v>
      </c>
      <c r="L7" s="27" t="s">
        <v>56</v>
      </c>
      <c r="M7" s="16"/>
      <c r="N7" s="18" t="s">
        <v>57</v>
      </c>
      <c r="O7" s="18" t="s">
        <v>38</v>
      </c>
      <c r="P7" s="18" t="s">
        <v>38</v>
      </c>
      <c r="Q7" s="28" t="s">
        <v>58</v>
      </c>
      <c r="R7" s="18" t="s">
        <v>43</v>
      </c>
      <c r="S7" s="18" t="s">
        <v>44</v>
      </c>
      <c r="T7" s="20"/>
      <c r="U7" s="18"/>
      <c r="V7" s="18" t="n">
        <v>1</v>
      </c>
      <c r="W7" s="21" t="n">
        <v>270</v>
      </c>
      <c r="X7" s="22" t="n">
        <f aca="false">ROUND(W7/1.13*1.08/6.8167,4)</f>
        <v>37.856</v>
      </c>
      <c r="Y7" s="23" t="n">
        <f aca="false">ROUND(X7*V7,2)</f>
        <v>37.86</v>
      </c>
      <c r="Z7" s="24"/>
      <c r="AA7" s="24"/>
      <c r="AB7" s="29"/>
      <c r="AC7" s="13" t="n">
        <v>1</v>
      </c>
      <c r="AD7" s="24"/>
      <c r="AE7" s="13" t="s">
        <v>61</v>
      </c>
      <c r="AF7" s="14" t="s">
        <v>51</v>
      </c>
      <c r="AG7" s="25" t="s">
        <v>48</v>
      </c>
      <c r="AH7" s="22" t="n">
        <f aca="false">ROUND(W7/1.13*1.08,4)</f>
        <v>258.0531</v>
      </c>
    </row>
    <row r="8" customFormat="false" ht="42" hidden="false" customHeight="true" outlineLevel="0" collapsed="false">
      <c r="A8" s="13" t="s">
        <v>49</v>
      </c>
      <c r="B8" s="13" t="s">
        <v>73</v>
      </c>
      <c r="C8" s="14" t="s">
        <v>51</v>
      </c>
      <c r="D8" s="15" t="s">
        <v>52</v>
      </c>
      <c r="E8" s="14" t="s">
        <v>53</v>
      </c>
      <c r="F8" s="16"/>
      <c r="G8" s="14" t="s">
        <v>74</v>
      </c>
      <c r="H8" s="14" t="s">
        <v>38</v>
      </c>
      <c r="I8" s="14" t="s">
        <v>55</v>
      </c>
      <c r="J8" s="13" t="n">
        <v>7314490000</v>
      </c>
      <c r="K8" s="13" t="n">
        <v>73144900</v>
      </c>
      <c r="L8" s="27" t="s">
        <v>56</v>
      </c>
      <c r="M8" s="16"/>
      <c r="N8" s="18" t="s">
        <v>57</v>
      </c>
      <c r="O8" s="18" t="s">
        <v>38</v>
      </c>
      <c r="P8" s="18" t="s">
        <v>38</v>
      </c>
      <c r="Q8" s="28" t="s">
        <v>58</v>
      </c>
      <c r="R8" s="18" t="s">
        <v>43</v>
      </c>
      <c r="S8" s="18" t="s">
        <v>44</v>
      </c>
      <c r="T8" s="20"/>
      <c r="U8" s="18"/>
      <c r="V8" s="18" t="n">
        <v>1</v>
      </c>
      <c r="W8" s="21" t="n">
        <v>270</v>
      </c>
      <c r="X8" s="22" t="n">
        <f aca="false">ROUND(W8/1.13*1.08/6.8167,4)</f>
        <v>37.856</v>
      </c>
      <c r="Y8" s="23" t="n">
        <f aca="false">ROUND(X8*V8,2)</f>
        <v>37.86</v>
      </c>
      <c r="Z8" s="24"/>
      <c r="AA8" s="24"/>
      <c r="AB8" s="29"/>
      <c r="AC8" s="13" t="n">
        <v>1</v>
      </c>
      <c r="AD8" s="24"/>
      <c r="AE8" s="13" t="s">
        <v>61</v>
      </c>
      <c r="AF8" s="14" t="s">
        <v>51</v>
      </c>
      <c r="AG8" s="25" t="s">
        <v>48</v>
      </c>
      <c r="AH8" s="22" t="n">
        <f aca="false">ROUND(W8/1.13*1.08,4)</f>
        <v>258.0531</v>
      </c>
    </row>
    <row r="9" customFormat="false" ht="42" hidden="false" customHeight="true" outlineLevel="0" collapsed="false">
      <c r="A9" s="13" t="s">
        <v>49</v>
      </c>
      <c r="B9" s="13" t="s">
        <v>75</v>
      </c>
      <c r="C9" s="14" t="s">
        <v>51</v>
      </c>
      <c r="D9" s="15" t="s">
        <v>52</v>
      </c>
      <c r="E9" s="14" t="s">
        <v>53</v>
      </c>
      <c r="F9" s="16"/>
      <c r="G9" s="14" t="s">
        <v>76</v>
      </c>
      <c r="H9" s="14" t="s">
        <v>38</v>
      </c>
      <c r="I9" s="14" t="s">
        <v>67</v>
      </c>
      <c r="J9" s="13" t="n">
        <v>7314490000</v>
      </c>
      <c r="K9" s="13" t="n">
        <v>73144900</v>
      </c>
      <c r="L9" s="27" t="s">
        <v>56</v>
      </c>
      <c r="M9" s="16"/>
      <c r="N9" s="18" t="s">
        <v>57</v>
      </c>
      <c r="O9" s="18" t="s">
        <v>38</v>
      </c>
      <c r="P9" s="18" t="s">
        <v>38</v>
      </c>
      <c r="Q9" s="28" t="s">
        <v>58</v>
      </c>
      <c r="R9" s="18" t="s">
        <v>43</v>
      </c>
      <c r="S9" s="18" t="s">
        <v>44</v>
      </c>
      <c r="T9" s="20"/>
      <c r="U9" s="18"/>
      <c r="V9" s="18" t="n">
        <v>1</v>
      </c>
      <c r="W9" s="21" t="n">
        <v>270</v>
      </c>
      <c r="X9" s="22" t="n">
        <f aca="false">ROUND(W9/1.13*1.08/6.8167,4)</f>
        <v>37.856</v>
      </c>
      <c r="Y9" s="23" t="n">
        <f aca="false">ROUND(X9*V9,2)</f>
        <v>37.86</v>
      </c>
      <c r="Z9" s="24"/>
      <c r="AA9" s="24"/>
      <c r="AB9" s="29"/>
      <c r="AC9" s="13" t="n">
        <v>1</v>
      </c>
      <c r="AD9" s="24"/>
      <c r="AE9" s="13" t="s">
        <v>61</v>
      </c>
      <c r="AF9" s="14" t="s">
        <v>51</v>
      </c>
      <c r="AG9" s="25" t="s">
        <v>48</v>
      </c>
      <c r="AH9" s="22" t="n">
        <f aca="false">ROUND(W9/1.13*1.08,4)</f>
        <v>258.0531</v>
      </c>
    </row>
    <row r="10" customFormat="false" ht="36" hidden="false" customHeight="true" outlineLevel="0" collapsed="false">
      <c r="V10" s="2" t="n">
        <f aca="false">SUM(V2:V9)</f>
        <v>207</v>
      </c>
      <c r="Y10" s="5" t="n">
        <f aca="false">SUM(Y2:Y9)</f>
        <v>1038.96</v>
      </c>
      <c r="AA10" s="1" t="n">
        <f aca="false">SUM(AA2:AA9)</f>
        <v>2</v>
      </c>
      <c r="AB10" s="1" t="n">
        <f aca="false">SUM(AB2:AB9)</f>
        <v>30.2</v>
      </c>
      <c r="AC10" s="2" t="n">
        <f aca="false">SUM(AC2:AC9)</f>
        <v>28.5</v>
      </c>
    </row>
  </sheetData>
  <autoFilter ref="A1:AH10"/>
  <mergeCells count="4">
    <mergeCell ref="Z3:Z9"/>
    <mergeCell ref="AA3:AA9"/>
    <mergeCell ref="AB3:AB9"/>
    <mergeCell ref="AD3:AD9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2026-06-15T08:49:19Z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