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to VN Pack list (M230905 batch)" sheetId="1" r:id="rId1"/>
  </sheets>
  <definedNames>
    <definedName name="_xlnm._FilterDatabase" localSheetId="0" hidden="1">'to VN Pack list (M230905 batch)'!$A$2:$HS$203</definedName>
  </definedNames>
  <calcPr calcId="144525" concurrentCalc="0"/>
</workbook>
</file>

<file path=xl/sharedStrings.xml><?xml version="1.0" encoding="utf-8"?>
<sst xmlns="http://schemas.openxmlformats.org/spreadsheetml/2006/main" count="708">
  <si>
    <t>to VN Packing list - For MPT M230905 batch material send to MPVN:</t>
  </si>
  <si>
    <t>Item</t>
  </si>
  <si>
    <t>MPVN-Vendor</t>
  </si>
  <si>
    <t>MPVN PO No#</t>
  </si>
  <si>
    <t>PO Line</t>
  </si>
  <si>
    <t>PO Site</t>
  </si>
  <si>
    <t>Part No#</t>
  </si>
  <si>
    <t>ctr_desc</t>
  </si>
  <si>
    <t>DESC</t>
  </si>
  <si>
    <t>vcp_hs_code_vn</t>
  </si>
  <si>
    <t>vhs_code_desc_en</t>
  </si>
  <si>
    <t>vhs_code_desc_vn</t>
  </si>
  <si>
    <t>ccp_co</t>
  </si>
  <si>
    <t>pt_um</t>
  </si>
  <si>
    <t>QTY</t>
  </si>
  <si>
    <t>CTN QTY</t>
  </si>
  <si>
    <t>C/N0.</t>
  </si>
  <si>
    <t>G.W.(KGS)</t>
  </si>
  <si>
    <t>N.W.(KGS)</t>
  </si>
  <si>
    <t>PO Price(USD)</t>
  </si>
  <si>
    <t>AMOUNT(USD)</t>
  </si>
  <si>
    <t>PO Due date</t>
  </si>
  <si>
    <t>Supplier Lot</t>
  </si>
  <si>
    <t>1M119</t>
  </si>
  <si>
    <t>H231001A</t>
  </si>
  <si>
    <t>HN</t>
  </si>
  <si>
    <t>882-19016-01-00</t>
  </si>
  <si>
    <t>玩具用线路板</t>
  </si>
  <si>
    <t>MODULE PCBA 990-19016-10 -00 ULTIMATE CATCH</t>
  </si>
  <si>
    <t>85371030</t>
  </si>
  <si>
    <t>- - Programmable logic controllers for automated machines for transport, handling and storage of dies for semiconductor devices</t>
  </si>
  <si>
    <t>- - Bộ điều khiển logic có khả năng lập trình cho máy tự động để dịch chuyển, xử lý và kẹp giữ khuôn cho thiết bị bán dẫn</t>
  </si>
  <si>
    <t>CHINA</t>
  </si>
  <si>
    <t>EA</t>
  </si>
  <si>
    <t>K1010-K1012</t>
  </si>
  <si>
    <t>H231098</t>
  </si>
  <si>
    <t>452-04038-04-02</t>
  </si>
  <si>
    <t>电源线连插头</t>
  </si>
  <si>
    <t>CA POWER 18AWG 1M AS/NZ3112 250Vac</t>
  </si>
  <si>
    <t>- - - - Other</t>
  </si>
  <si>
    <t>- - - - Loại khác</t>
  </si>
  <si>
    <t>K438-K462</t>
  </si>
  <si>
    <t>2331145R</t>
  </si>
  <si>
    <t>H231376</t>
  </si>
  <si>
    <t>100-12042-01-01</t>
  </si>
  <si>
    <t>线路板</t>
  </si>
  <si>
    <t>PCB PTC L1 FR1 1.0 OS P 17.5x9 OP MOUDLE CLASS</t>
  </si>
  <si>
    <t>- Single-sided</t>
  </si>
  <si>
    <t>- Một mặt</t>
  </si>
  <si>
    <t>K111-K113</t>
  </si>
  <si>
    <t>100-12042-02-01</t>
  </si>
  <si>
    <t>PCB SWITCH L1 FR1 1.0 OSP 13.5x9 OP MODULE C</t>
  </si>
  <si>
    <t>100-12042-03-00</t>
  </si>
  <si>
    <t>PCB LED L1 FR1 1.0 OSP 13x9 OP MODULE CLASS</t>
  </si>
  <si>
    <t>H231327</t>
  </si>
  <si>
    <t>100-22005-07-00</t>
  </si>
  <si>
    <t>空白线路板</t>
  </si>
  <si>
    <t>PCB JACK BOARD L2 FR4 1. 6 OSP 176x75 GOKEYS3-MU</t>
  </si>
  <si>
    <t>- Multi-layer</t>
  </si>
  <si>
    <t>- Nhiều lớp</t>
  </si>
  <si>
    <t>K95-K103</t>
  </si>
  <si>
    <t>H231326</t>
  </si>
  <si>
    <t>101-22005-01-00</t>
  </si>
  <si>
    <t>PCB MAIN L6 FR4 1.6 OSP 203x82 GOKEYS3-MU (VN)</t>
  </si>
  <si>
    <t>K129-K156</t>
  </si>
  <si>
    <t>H220968</t>
  </si>
  <si>
    <t>214-24708-57-11</t>
  </si>
  <si>
    <t>片式固定瓷质电阻器</t>
  </si>
  <si>
    <t>RES SMD MF 470 0.5% 1/16W 0402 SSM</t>
  </si>
  <si>
    <t>- - For a power handling capacity not exceeding 20 W</t>
  </si>
  <si>
    <t>- - Có công suất danh định không quá 20 W</t>
  </si>
  <si>
    <t>K74</t>
  </si>
  <si>
    <t>H231298</t>
  </si>
  <si>
    <t>258-71020-16-81</t>
  </si>
  <si>
    <t>电解电容</t>
  </si>
  <si>
    <t>P CAP ELE 10uF 20% 16V 4X7</t>
  </si>
  <si>
    <t>- - Aluminium electrolytic</t>
  </si>
  <si>
    <t>- - Tụ nhôm</t>
  </si>
  <si>
    <t>K367-K368</t>
  </si>
  <si>
    <t>H231434</t>
  </si>
  <si>
    <t>258-71020-25-81</t>
  </si>
  <si>
    <t>P CAP ELE 10uF +/-20% 25V 4X7</t>
  </si>
  <si>
    <t>K369-K370</t>
  </si>
  <si>
    <t>H230866</t>
  </si>
  <si>
    <t>261-23914-44-71</t>
  </si>
  <si>
    <t>贴片电容</t>
  </si>
  <si>
    <t>CAP SMD 390pF 10% X7R 50V 0402</t>
  </si>
  <si>
    <t>- - Ceramic dielectric, multilayer</t>
  </si>
  <si>
    <t>- - Tụ gốm, nhiều lớp</t>
  </si>
  <si>
    <t>K114</t>
  </si>
  <si>
    <t>H230260</t>
  </si>
  <si>
    <t>262-61020-16-11</t>
  </si>
  <si>
    <t>贴片钽电容</t>
  </si>
  <si>
    <t>CAP SMD TAN 1uF 20% 16V TCM1C105M8R ROHM</t>
  </si>
  <si>
    <t>- - Tantalum</t>
  </si>
  <si>
    <t>- - Tụ tantan (tantalum)</t>
  </si>
  <si>
    <t>THAILAND</t>
  </si>
  <si>
    <t>K90-K91</t>
  </si>
  <si>
    <t>H230607</t>
  </si>
  <si>
    <t>262-71020-10-61</t>
  </si>
  <si>
    <t>片式钽电容</t>
  </si>
  <si>
    <t>CAP SMD TAN 10uF 20% 10V 0805 TCP1A106M8R</t>
  </si>
  <si>
    <t>K72</t>
  </si>
  <si>
    <t>H220964</t>
  </si>
  <si>
    <t>262-82220-06-81</t>
  </si>
  <si>
    <t>CAP SMD TAN 220uF 20% 6. 3V 1206 TCTAL0J227M8R-V1</t>
  </si>
  <si>
    <t>K77-K78</t>
  </si>
  <si>
    <t>H230019</t>
  </si>
  <si>
    <t>263-72224-35-92</t>
  </si>
  <si>
    <t>片式铝固定电解电容</t>
  </si>
  <si>
    <t>CAP SMD ELE 22uF 20% 35V EMVE350ARA220MF55G NCC</t>
  </si>
  <si>
    <t>INDONESIA</t>
  </si>
  <si>
    <t>K48</t>
  </si>
  <si>
    <t>263-81024-16-96</t>
  </si>
  <si>
    <t>CAP SMD ELE 100uF 20% 16 V EMVE160ARA101MF55G NCC</t>
  </si>
  <si>
    <t>K66-K68</t>
  </si>
  <si>
    <t>263-82224-16-92</t>
  </si>
  <si>
    <t>CAP SMD ELE 220uF 20% 16 V EMVE160ARA221MF80G NCC</t>
  </si>
  <si>
    <t>K63-K65</t>
  </si>
  <si>
    <t>H230116</t>
  </si>
  <si>
    <t>H230318</t>
  </si>
  <si>
    <t>263-84724-16-95</t>
  </si>
  <si>
    <t>CAP SMD ELE 470uF 20% 16 V EMVE160ARA471MHA0G NCC</t>
  </si>
  <si>
    <t>K56-K58</t>
  </si>
  <si>
    <t>H231409</t>
  </si>
  <si>
    <t>295-23012-01-00</t>
  </si>
  <si>
    <t>磁钢</t>
  </si>
  <si>
    <t xml:space="preserve">MAGNET 30x5MM Power Puck </t>
  </si>
  <si>
    <t>- - Of metal</t>
  </si>
  <si>
    <t>- - Bằng kim loại</t>
  </si>
  <si>
    <t>K117-K118</t>
  </si>
  <si>
    <t>H220978</t>
  </si>
  <si>
    <t>351-12020-01-00</t>
  </si>
  <si>
    <t>二极管</t>
  </si>
  <si>
    <t>DIO SMD 1SS387(TPH3.F ) SOD-523 TOSHIBA</t>
  </si>
  <si>
    <t>- Diodes, other than photosensitive or light- emitting diodes (LED)</t>
  </si>
  <si>
    <t>- Đi-ốt, trừ đi-ốt cảm quang hay đi-ốt phát quang (LED)</t>
  </si>
  <si>
    <t>K88</t>
  </si>
  <si>
    <t>H230053</t>
  </si>
  <si>
    <t>351-16024-01-00</t>
  </si>
  <si>
    <t>DIO SMD 1SS355VMTE-17 SOD-323 ROHM</t>
  </si>
  <si>
    <t>K71</t>
  </si>
  <si>
    <t>H230007</t>
  </si>
  <si>
    <t>352-12014-01-00</t>
  </si>
  <si>
    <t>DIO ZEN SMD 15V UDZV TE-17 15B SOD-323 ROHM</t>
  </si>
  <si>
    <t>K73</t>
  </si>
  <si>
    <t>K94</t>
  </si>
  <si>
    <t>352-17016-01-00</t>
  </si>
  <si>
    <t>DIODE  SMD  UDZV TE-17 6.8B SOD-323 ROHM</t>
  </si>
  <si>
    <t>K92</t>
  </si>
  <si>
    <t>H220474</t>
  </si>
  <si>
    <t>354-07014-01-00</t>
  </si>
  <si>
    <t>DIO ARRAY SMD 1SS362FV SOD-123 TOSHIBA</t>
  </si>
  <si>
    <t>JAPAN</t>
  </si>
  <si>
    <t>K59</t>
  </si>
  <si>
    <t>H220556</t>
  </si>
  <si>
    <t>H220727</t>
  </si>
  <si>
    <t>H230265</t>
  </si>
  <si>
    <t>H220856</t>
  </si>
  <si>
    <t>354-11020-01-00</t>
  </si>
  <si>
    <t>DIO ARRAY SMD 1SS302( TE85L.F) SC-70 TOSHIBA</t>
  </si>
  <si>
    <t>K75</t>
  </si>
  <si>
    <t>H230408</t>
  </si>
  <si>
    <t>361-05011-02-00</t>
  </si>
  <si>
    <t>三极管</t>
  </si>
  <si>
    <t>TSR NPN SMD DTC614TU T106 SOT-323 ROHM</t>
  </si>
  <si>
    <t>- - With a dissipation rate of less than 1 W</t>
  </si>
  <si>
    <t>- - Có tỷ lệ tiêu tán năng lượng dưới 1 W</t>
  </si>
  <si>
    <t>PHILIPPINES</t>
  </si>
  <si>
    <t>K87</t>
  </si>
  <si>
    <t>H230681</t>
  </si>
  <si>
    <t>361-05081-02-00</t>
  </si>
  <si>
    <t>TSR NPN SMD 2SC4738-GR TOSHIBA</t>
  </si>
  <si>
    <t>K69-K70</t>
  </si>
  <si>
    <t>H230180</t>
  </si>
  <si>
    <t>362-14025-01-00</t>
  </si>
  <si>
    <t>TSR PNP SMD 2SA1832-GR (TE85L.F SOT-23 TOSHIBA</t>
  </si>
  <si>
    <t>K85-K86</t>
  </si>
  <si>
    <t>362-18031-01-00</t>
  </si>
  <si>
    <t>TSR PNP SMD DTA014EUBTL UMT3F ROHM</t>
  </si>
  <si>
    <t>K93</t>
  </si>
  <si>
    <t>362-20002-01-00</t>
  </si>
  <si>
    <t>TSR PNP SMD 2SA1774EBMGT LQ EMT3F ROHM</t>
  </si>
  <si>
    <t>K79-K80</t>
  </si>
  <si>
    <t>362-22005-01-00</t>
  </si>
  <si>
    <t>TSR PNP SMD DTA023EMT2L SOT-723 ROHM</t>
  </si>
  <si>
    <t>K76</t>
  </si>
  <si>
    <t>364-11013-01-00</t>
  </si>
  <si>
    <t>TSR MOSFET SMD TPC812 5 LQ(S 2-5R1A TOSHIBA</t>
  </si>
  <si>
    <t>K38</t>
  </si>
  <si>
    <t>364-15037-01-00</t>
  </si>
  <si>
    <t>TSR MOSFET SMD SSM3J1 34TU 2-2U1A TOSHIBA</t>
  </si>
  <si>
    <t>K81</t>
  </si>
  <si>
    <t>H230234</t>
  </si>
  <si>
    <t>381-02066-04-00</t>
  </si>
  <si>
    <t>驱动功能集成电路</t>
  </si>
  <si>
    <t>IC SMD TC7SH04FU (TE85L.F) TOSHIBA</t>
  </si>
  <si>
    <t>- - Other</t>
  </si>
  <si>
    <t>- - Loại khác</t>
  </si>
  <si>
    <t>K89</t>
  </si>
  <si>
    <t>H220913</t>
  </si>
  <si>
    <t>381-05033-08-00</t>
  </si>
  <si>
    <t>IC LOGIC TC7SH08FU (T5L JF T) SSOP TOSHIBA</t>
  </si>
  <si>
    <t>K83</t>
  </si>
  <si>
    <t>H230143</t>
  </si>
  <si>
    <t>381-05045-23-00</t>
  </si>
  <si>
    <t>IC TC7WU04FU(TE12L) SMD TOSHIBA</t>
  </si>
  <si>
    <t>K82</t>
  </si>
  <si>
    <t>381-07015-01-00</t>
  </si>
  <si>
    <t>IC TC7WH14FU(TE12L.F) SSOP8-P-0.65 TOSHIBA</t>
  </si>
  <si>
    <t>K84</t>
  </si>
  <si>
    <t>381-12057-12-00</t>
  </si>
  <si>
    <t>IC LOGIC TC74VHCT138A FTELKM TSSOP16 TOSHIBA</t>
  </si>
  <si>
    <t>K47</t>
  </si>
  <si>
    <t>381-16011-02-00</t>
  </si>
  <si>
    <t>IC LOGIC 74VHC574FT TOSHIBA</t>
  </si>
  <si>
    <t>K60</t>
  </si>
  <si>
    <t>H230425</t>
  </si>
  <si>
    <t>381-16011-03-00</t>
  </si>
  <si>
    <t>稳压功能集成电路</t>
  </si>
  <si>
    <t>IC DC/DC BD9865MWV QFN40 ROHM</t>
  </si>
  <si>
    <t>K61-K62</t>
  </si>
  <si>
    <t>H220083A</t>
  </si>
  <si>
    <t>381-21002-02-00</t>
  </si>
  <si>
    <t>IC PHO TLP2368 11-4L1S TOSHIBA</t>
  </si>
  <si>
    <t>K45-K46</t>
  </si>
  <si>
    <t>H231456</t>
  </si>
  <si>
    <t>400-08049-01-00</t>
  </si>
  <si>
    <t>开关</t>
  </si>
  <si>
    <t>SWH SMD TACT 12VDC 6x6x4.3 200G</t>
  </si>
  <si>
    <t>- - - Other, of a rated current carrying capacity of less than 16 A</t>
  </si>
  <si>
    <t>- - - Loại khác, dùng cho dòng điện danh định dưới 16 A (SEN)</t>
  </si>
  <si>
    <t>K115</t>
  </si>
  <si>
    <t>H231476</t>
  </si>
  <si>
    <t>400-16012-01-00</t>
  </si>
  <si>
    <t>SWH LEAD TACT 12VD TV DT17-H4.3-3.5-160-10W YF</t>
  </si>
  <si>
    <t>K116</t>
  </si>
  <si>
    <t>H231242</t>
  </si>
  <si>
    <t>412-19007-01-00</t>
  </si>
  <si>
    <t>喇叭</t>
  </si>
  <si>
    <t>P SPK MYLAR 36 16OHM 0.2 5W Y095F210R016-1553 BE</t>
  </si>
  <si>
    <t>- - - Loudspeakers, without enclosure, having a frequency range of 300 Hz to 3,400 Hz, with a diameter not exceeding 50 mm, for telecommunication use</t>
  </si>
  <si>
    <t>- - - Loa, không có vỏ, có dải tần số 300 Hz đến 3.400 Hz, với đường kính không quá 50 mm, sử dụng trong viễn thông</t>
  </si>
  <si>
    <t>K177-K203</t>
  </si>
  <si>
    <t>H231352</t>
  </si>
  <si>
    <t>431-33002-20-02</t>
  </si>
  <si>
    <t>无接头电线</t>
  </si>
  <si>
    <t>P WIRE ROLL PVC STR 20 AWG CU RED 21LBS 19E</t>
  </si>
  <si>
    <t>M</t>
  </si>
  <si>
    <t>K386-K390</t>
  </si>
  <si>
    <t>H231406</t>
  </si>
  <si>
    <t>445-02000-28-01</t>
  </si>
  <si>
    <t>WIRE PE STR 28AWG CU BLK 3+20+3</t>
  </si>
  <si>
    <t>K383</t>
  </si>
  <si>
    <t>445-02500-24-01</t>
  </si>
  <si>
    <t>WIRE PE STR CU 24AWG BLK 3+25+3</t>
  </si>
  <si>
    <t>K382</t>
  </si>
  <si>
    <t>445-02502-24-01</t>
  </si>
  <si>
    <t>WIRE PE STR CU 24AWG RED 3+25+3</t>
  </si>
  <si>
    <t>K380</t>
  </si>
  <si>
    <t>445-03002-22-01</t>
  </si>
  <si>
    <t>WIRE PE STR CU 22AWG RED 3+30+3</t>
  </si>
  <si>
    <t>K381</t>
  </si>
  <si>
    <t>445-03002-24-01</t>
  </si>
  <si>
    <t>WIRE PE STR CU 24AWG RED 3+30+3</t>
  </si>
  <si>
    <t>445-04000-22-01</t>
  </si>
  <si>
    <t>WIRE PE STR 22AWG CU BLK 3+40+3</t>
  </si>
  <si>
    <t>445-04502-28-01</t>
  </si>
  <si>
    <t>WIRE PE STR CU 28AWG RED 3+45+3</t>
  </si>
  <si>
    <t>K385</t>
  </si>
  <si>
    <t>445-04509-28-01</t>
  </si>
  <si>
    <t>WIRE PE STR CU 28AWG WHT 3+45+3</t>
  </si>
  <si>
    <t>K384</t>
  </si>
  <si>
    <t>445-04802-28-01</t>
  </si>
  <si>
    <t>WIRE PE STR CU 28AWG RED 3+48+3</t>
  </si>
  <si>
    <t>445-05000-24-01</t>
  </si>
  <si>
    <t>WIRE PE STR CU 24AWG BLK 3+50+3</t>
  </si>
  <si>
    <t>445-05000-28-01</t>
  </si>
  <si>
    <t>WIRE PE STR 28AWG CU BLK 3+50+3</t>
  </si>
  <si>
    <t>445-05002-28-01</t>
  </si>
  <si>
    <t>WIRE PE STR 28AWG CU RED 3+50+3</t>
  </si>
  <si>
    <t>445-06000-28-01</t>
  </si>
  <si>
    <t>WIRE PE STR CU 28AWG BLK 3+60+3</t>
  </si>
  <si>
    <t>445-06002-28-01</t>
  </si>
  <si>
    <t>WIRE PE STR CU 28AWG RED 3+60+3</t>
  </si>
  <si>
    <t>445-06009-28-01</t>
  </si>
  <si>
    <t>WIRE PE STR CU 28AWG WHT 3+60+3</t>
  </si>
  <si>
    <t>445-06502-28-01</t>
  </si>
  <si>
    <t>WIRE PE STR 28AWG CU RED 3+65+3</t>
  </si>
  <si>
    <t>445-07000-28-01</t>
  </si>
  <si>
    <t>WIRE PE STR CU 28AWG BLK 3+70+3</t>
  </si>
  <si>
    <t>445-08509-28-01</t>
  </si>
  <si>
    <t>WIRE PE STR CU 28AWG WHT 3+85+3</t>
  </si>
  <si>
    <t>445-13000-28-01</t>
  </si>
  <si>
    <t>WIRE PE STR CU 28AWG BLK 3+130+3</t>
  </si>
  <si>
    <t>445-18002-28-01</t>
  </si>
  <si>
    <t>WIRE PE STR CU 28AWG RED 3+180+3</t>
  </si>
  <si>
    <t>K127</t>
  </si>
  <si>
    <t>445-20000-28-01</t>
  </si>
  <si>
    <t>WIRE PE STR CU 28AWG BLK 3+200+3</t>
  </si>
  <si>
    <t>K128</t>
  </si>
  <si>
    <t>447-53502-20-01</t>
  </si>
  <si>
    <t>P WIRE PVC STR CU 20AWG RED 3+535+3 21LBS 19E</t>
  </si>
  <si>
    <t>K340-K361</t>
  </si>
  <si>
    <t>H231424</t>
  </si>
  <si>
    <t>506-42218-23-06</t>
  </si>
  <si>
    <t>螺丝</t>
  </si>
  <si>
    <t>SCREW ST/B PAN PHIL MS BLZN M2.3 06 19E</t>
  </si>
  <si>
    <t>- - - Having a shank of an external diameter not exceeding 16 mm</t>
  </si>
  <si>
    <t>- - - Đường kính ngoài của thân không quá 16 mm</t>
  </si>
  <si>
    <t>K371-K376</t>
  </si>
  <si>
    <t>H230936</t>
  </si>
  <si>
    <t>600-04038-01-00</t>
  </si>
  <si>
    <t>插座</t>
  </si>
  <si>
    <t>CONN HEADER 13PINx2 6501S-26G2-GP SUYIN</t>
  </si>
  <si>
    <t>- - - - For a current of less than 16 A</t>
  </si>
  <si>
    <t>- - - - Dòng điện dưới 16 A</t>
  </si>
  <si>
    <t>K39-K44</t>
  </si>
  <si>
    <t>H231485</t>
  </si>
  <si>
    <t>630-05033-02-00</t>
  </si>
  <si>
    <t>珍珠棉</t>
  </si>
  <si>
    <t>SHT EPE FOAM 1.0 600X600MM E-09</t>
  </si>
  <si>
    <t>K254-K255</t>
  </si>
  <si>
    <t>H231416</t>
  </si>
  <si>
    <t>630-12042-01-00</t>
  </si>
  <si>
    <t>P SHT EPE FOAM 1.0 243x230 MM</t>
  </si>
  <si>
    <t>K256</t>
  </si>
  <si>
    <t>630-15003-01-00</t>
  </si>
  <si>
    <t>SHT EPE FOAM 1.0 1250x770 MM HD JUNO-DS61</t>
  </si>
  <si>
    <t>K204-K219</t>
  </si>
  <si>
    <t>H231399</t>
  </si>
  <si>
    <t>643-08049-02-00</t>
  </si>
  <si>
    <t>纸绳</t>
  </si>
  <si>
    <t>TIE PAPER RATTANOD2.0 CAT A</t>
  </si>
  <si>
    <t>- - Cocooning frames for silk-worms</t>
  </si>
  <si>
    <t>- - Khung kén tằm</t>
  </si>
  <si>
    <t>K53-K55</t>
  </si>
  <si>
    <t>H231481</t>
  </si>
  <si>
    <t>701-1280280</t>
  </si>
  <si>
    <t>热塑丁苯橡胶粒</t>
  </si>
  <si>
    <t>P RESIN TPE SR-9000T-45-H VAST 19E</t>
  </si>
  <si>
    <t>- - - Other</t>
  </si>
  <si>
    <t>- - - Loại khác</t>
  </si>
  <si>
    <t>KOREA</t>
  </si>
  <si>
    <t>KG</t>
  </si>
  <si>
    <t>K336-K338</t>
  </si>
  <si>
    <t>H231323</t>
  </si>
  <si>
    <t>716-22005-01-00</t>
  </si>
  <si>
    <t>标签</t>
  </si>
  <si>
    <t>PLC DISPLAY COVER GOKEYS3-MU PC</t>
  </si>
  <si>
    <t>K126</t>
  </si>
  <si>
    <t>H231247</t>
  </si>
  <si>
    <t>721-16011-01-00</t>
  </si>
  <si>
    <t>硅胶按键</t>
  </si>
  <si>
    <t>RUB FOOT 15x9 VR PEDAL FOOT TOE GT-1</t>
  </si>
  <si>
    <t>K335</t>
  </si>
  <si>
    <t>721-16011-02-00</t>
  </si>
  <si>
    <t>RUB FOOT 30x10x2 VR PEDAL FOOT HEEL GT-1</t>
  </si>
  <si>
    <t>K334</t>
  </si>
  <si>
    <t>721-16011-03-00</t>
  </si>
  <si>
    <t>RUB FOOT 20x16x3 BOTTOM FOOT GT-1</t>
  </si>
  <si>
    <t>K333</t>
  </si>
  <si>
    <t>H231377</t>
  </si>
  <si>
    <t>722-05015-02-02</t>
  </si>
  <si>
    <t>P RUB KEY 10X10H=4.2 CLASSIC SIMON</t>
  </si>
  <si>
    <t>K377-K379</t>
  </si>
  <si>
    <t>H231339</t>
  </si>
  <si>
    <t>750-02122-03-01</t>
  </si>
  <si>
    <t>玩具五金电池片</t>
  </si>
  <si>
    <t>MET-S CONTACT PLATE OP MODULE 19E</t>
  </si>
  <si>
    <t>K366</t>
  </si>
  <si>
    <t>750-12042-01-04</t>
  </si>
  <si>
    <t>MET-S CONTACT PLATE OP MOUDLE CLASS 19E</t>
  </si>
  <si>
    <t>K362-K365</t>
  </si>
  <si>
    <t>H231172</t>
  </si>
  <si>
    <t>750-16024-01-00</t>
  </si>
  <si>
    <t>铁固定架</t>
  </si>
  <si>
    <t>MET-S KEY STOPPER GO-61K</t>
  </si>
  <si>
    <t>K391-K437</t>
  </si>
  <si>
    <t>H231248</t>
  </si>
  <si>
    <t>754-02122-01-00</t>
  </si>
  <si>
    <t xml:space="preserve">METAL BATT CONT AA+/- </t>
  </si>
  <si>
    <t>K168-K176</t>
  </si>
  <si>
    <t>H231443</t>
  </si>
  <si>
    <t>754-02122-02-00</t>
  </si>
  <si>
    <t xml:space="preserve">METAL BATT CONT AA-/+ </t>
  </si>
  <si>
    <t>K157</t>
  </si>
  <si>
    <t>754-05005-03-01</t>
  </si>
  <si>
    <t xml:space="preserve">METAL BATT CONT AA - </t>
  </si>
  <si>
    <t>K160-K164</t>
  </si>
  <si>
    <t>754-05005-04-01</t>
  </si>
  <si>
    <t xml:space="preserve">METAL BATT CONT AA + </t>
  </si>
  <si>
    <t>K165-K167</t>
  </si>
  <si>
    <t>754-19009-01-00</t>
  </si>
  <si>
    <t>METAL BATT CONT AAA-/+VE</t>
  </si>
  <si>
    <t>K158-K159</t>
  </si>
  <si>
    <t>H231265</t>
  </si>
  <si>
    <t>762-16024-03-00</t>
  </si>
  <si>
    <t>聚亚胺酯海棉片</t>
  </si>
  <si>
    <t>FOAM FELT RECTANGLE 850x10x3MM GO-61K</t>
  </si>
  <si>
    <t>K51-K52</t>
  </si>
  <si>
    <t>762-16024-04-00</t>
  </si>
  <si>
    <t>FOAM FELT RECTANGLE 850x7x3MM GO-61K</t>
  </si>
  <si>
    <t>K49-K50</t>
  </si>
  <si>
    <t>H231412</t>
  </si>
  <si>
    <t>810-23626-34-01</t>
  </si>
  <si>
    <r>
      <t>PE</t>
    </r>
    <r>
      <rPr>
        <sz val="10"/>
        <rFont val="宋体"/>
        <charset val="134"/>
      </rPr>
      <t>胶袋</t>
    </r>
  </si>
  <si>
    <t>BAG HD-PE 0.03 360x260 H2 R9</t>
  </si>
  <si>
    <t>K122</t>
  </si>
  <si>
    <t>810-31550-30-01</t>
  </si>
  <si>
    <t>BAG LDPE 0.04 150x500 H4 W28</t>
  </si>
  <si>
    <t>K121</t>
  </si>
  <si>
    <t>810-40028-30-01</t>
  </si>
  <si>
    <t>BAG PE 0.05 166x280 H4 R4 W20</t>
  </si>
  <si>
    <t>K120</t>
  </si>
  <si>
    <t>H231484</t>
  </si>
  <si>
    <t>810-40613-00-01</t>
  </si>
  <si>
    <t>胶袋</t>
  </si>
  <si>
    <t>BAG LDPE 0.05 60x130 ZIP LOCK</t>
  </si>
  <si>
    <t>K119</t>
  </si>
  <si>
    <t>810-42538-30-02</t>
  </si>
  <si>
    <t>BAG PE 0.05 250X380MM H2 R4 W12</t>
  </si>
  <si>
    <t>K123-K125</t>
  </si>
  <si>
    <t>834-21011-01-00</t>
  </si>
  <si>
    <t xml:space="preserve">EPE PAD L DCB-LX </t>
  </si>
  <si>
    <t>K257-K258</t>
  </si>
  <si>
    <t>834-21011-02-00</t>
  </si>
  <si>
    <t xml:space="preserve">EPE PAD R DCB-LX </t>
  </si>
  <si>
    <t>K259-K260</t>
  </si>
  <si>
    <t>H231353</t>
  </si>
  <si>
    <t>835-11020-01-00</t>
  </si>
  <si>
    <t>纸托</t>
  </si>
  <si>
    <t xml:space="preserve">PULP MOLD PAD R GA-FC </t>
  </si>
  <si>
    <t>- Corrugated paper and paperboard, whether or not perforated</t>
  </si>
  <si>
    <t>- Giấy và bìa sóng, đã hoặc chưa đục lỗ</t>
  </si>
  <si>
    <t>K261-K296</t>
  </si>
  <si>
    <t>835-11020-02-00</t>
  </si>
  <si>
    <t xml:space="preserve">PULP MOLD PAD L GA-FC </t>
  </si>
  <si>
    <t>K297-K332</t>
  </si>
  <si>
    <t>H231482</t>
  </si>
  <si>
    <t>841-22017-01-00</t>
  </si>
  <si>
    <t>说明书</t>
  </si>
  <si>
    <t>PRT USER MANUAL BOP IT CAT B</t>
  </si>
  <si>
    <t>K104-K110</t>
  </si>
  <si>
    <t>H231415</t>
  </si>
  <si>
    <t>843-16011-10-00</t>
  </si>
  <si>
    <t>贴纸</t>
  </si>
  <si>
    <t>LBL PRT ADHES NAMEPLATE? 220CN MNP VN GT-1B(B)</t>
  </si>
  <si>
    <t>K339</t>
  </si>
  <si>
    <t>K463-K469</t>
  </si>
  <si>
    <t>H230263</t>
  </si>
  <si>
    <t>214-31008-57-11</t>
  </si>
  <si>
    <t>RES SMD MF 1K 0.5% 1/16W 0402 SSM</t>
  </si>
  <si>
    <t>K477</t>
  </si>
  <si>
    <t>214-41008-57-11</t>
  </si>
  <si>
    <t>RES SMD MF 10K 0.5% 1/16W 0402 SSM</t>
  </si>
  <si>
    <t>K476</t>
  </si>
  <si>
    <t>H231368</t>
  </si>
  <si>
    <t>291-02122-01-00</t>
  </si>
  <si>
    <t>电感</t>
  </si>
  <si>
    <t>IND LEAD 3.3uH 10% 3R3K 3x8</t>
  </si>
  <si>
    <t>- - Chip type fixed inductors</t>
  </si>
  <si>
    <t>- - Cuộn cảm cố định kiểu con chip (SEN)</t>
  </si>
  <si>
    <t>K470-K472</t>
  </si>
  <si>
    <t>H231467</t>
  </si>
  <si>
    <t>701-1140120</t>
  </si>
  <si>
    <t>聚碳酸酯胶粒</t>
  </si>
  <si>
    <t>RESIN PC LS2 CLEAR WITH UV PROTECTION</t>
  </si>
  <si>
    <t>- Polycarbonates</t>
  </si>
  <si>
    <t>- Cac polycarbonat</t>
  </si>
  <si>
    <t>K475(1 pallet/33 pack)</t>
  </si>
  <si>
    <t>K473-K474</t>
  </si>
  <si>
    <t>H231013</t>
  </si>
  <si>
    <t>722-18049-01-00</t>
  </si>
  <si>
    <t>橡胶按钮</t>
  </si>
  <si>
    <t>RUB KEYPAD MSK-3P RUBBER SWITCH 13P-B GO-61P-A</t>
  </si>
  <si>
    <t>K478(2 pallet/78 pack)</t>
  </si>
  <si>
    <t>H231340</t>
  </si>
  <si>
    <t>750-02122-04-03</t>
  </si>
  <si>
    <t>夹子</t>
  </si>
  <si>
    <t>MET-S TWEEZERS OP MODULE 19E</t>
  </si>
  <si>
    <t>K973-K1006</t>
  </si>
  <si>
    <t>H230320</t>
  </si>
  <si>
    <t>214-33308-57-11</t>
  </si>
  <si>
    <t>RES SMD MF 3.3K 0.5% 1/16W 0402 SSM</t>
  </si>
  <si>
    <t>K1223</t>
  </si>
  <si>
    <t>214-33908-57-11</t>
  </si>
  <si>
    <t>RES SMD MF 3.9K 0.5% 1/16W 0402 SSM</t>
  </si>
  <si>
    <t>K1224</t>
  </si>
  <si>
    <t>H230118</t>
  </si>
  <si>
    <t>214-35608-51-11</t>
  </si>
  <si>
    <t>RES SMD MF 5.6K 0.5% 1/16W 0603 SSM</t>
  </si>
  <si>
    <t>K1225</t>
  </si>
  <si>
    <t>H230071</t>
  </si>
  <si>
    <t>214-41008-51-11</t>
  </si>
  <si>
    <t>RES SMD MF 10K 0.5% 1/16W 0603 SSM</t>
  </si>
  <si>
    <t>K1226</t>
  </si>
  <si>
    <t>H230191</t>
  </si>
  <si>
    <t>214-41208-51-11</t>
  </si>
  <si>
    <t>RES SMD MF 12K +/-0.5% 1/16W 0603 SSM</t>
  </si>
  <si>
    <t>K1227</t>
  </si>
  <si>
    <t>214-41808-57-11</t>
  </si>
  <si>
    <t>RES SMD MF 18K 0.5% 1/16W 0402 SSM</t>
  </si>
  <si>
    <t>K1228</t>
  </si>
  <si>
    <t>214-42708-51-11</t>
  </si>
  <si>
    <t>RES SMD MF 27K +/-0.5% 1/16W 0603 SSM</t>
  </si>
  <si>
    <t>K1229</t>
  </si>
  <si>
    <t>214-43308-51-11</t>
  </si>
  <si>
    <t>RES SMD MF 33K +/-0.5% 1/16W 0603 SSM</t>
  </si>
  <si>
    <t>K1230</t>
  </si>
  <si>
    <t>214-43308-57-11</t>
  </si>
  <si>
    <t>RES SMD MF 33K 0.5% 1/16W 0402 SSM</t>
  </si>
  <si>
    <t>K1231</t>
  </si>
  <si>
    <t>214-43908-57-11</t>
  </si>
  <si>
    <t>RES SMD MF 39K 0.5% 1/16W 0402 SSM</t>
  </si>
  <si>
    <t>K1232</t>
  </si>
  <si>
    <t>H231084</t>
  </si>
  <si>
    <t>331-06026-01-00</t>
  </si>
  <si>
    <t>发光二极管</t>
  </si>
  <si>
    <t>LED RED L-314ED PARALIGHT</t>
  </si>
  <si>
    <t>- - Light-emitting diodes</t>
  </si>
  <si>
    <t>- - Đi-ốt phát quang</t>
  </si>
  <si>
    <t>K518</t>
  </si>
  <si>
    <t>H231465</t>
  </si>
  <si>
    <t>331-13044-01-00</t>
  </si>
  <si>
    <t>LED LEAD RED 5MM M4.8BR4UDO Y.LIN</t>
  </si>
  <si>
    <t>K508-K509</t>
  </si>
  <si>
    <t>331-13044-03-00</t>
  </si>
  <si>
    <t>LED LEAD YEL 5MM M4.8BY4UDO-3 Y.LIN</t>
  </si>
  <si>
    <t>K510-K511</t>
  </si>
  <si>
    <t>331-13044-04-00</t>
  </si>
  <si>
    <t>LED LEAD GRN 5MM M4.8BG4UDO Y.LIN</t>
  </si>
  <si>
    <t>K512-K513</t>
  </si>
  <si>
    <t>331-14045-01-00</t>
  </si>
  <si>
    <t>LED SMD BLU 0603 L-C191LBCT-ZX PARA</t>
  </si>
  <si>
    <t>K515-K516</t>
  </si>
  <si>
    <t>H231261</t>
  </si>
  <si>
    <t>H231437</t>
  </si>
  <si>
    <t>331-22018-01-00</t>
  </si>
  <si>
    <t>LED LEAD BLU 4.8MM M4.8BBLSC0-P Y.LIN</t>
  </si>
  <si>
    <t>K513-K514</t>
  </si>
  <si>
    <t>H231288</t>
  </si>
  <si>
    <t>400-13023-01-00</t>
  </si>
  <si>
    <t>开关制</t>
  </si>
  <si>
    <t>SWH LEAD 5VDC XRE0125 05PVB15FINB1-2-24PCE/I</t>
  </si>
  <si>
    <t>K32-K37</t>
  </si>
  <si>
    <t>H231450</t>
  </si>
  <si>
    <t>421-26101-15-10</t>
  </si>
  <si>
    <t>碱性锌锰原电池</t>
  </si>
  <si>
    <t>BAT CYL AAA AKL 1.5V AM4 VINNIC HASBRO</t>
  </si>
  <si>
    <t>- - Having an external volume not exceeding 300 cm3</t>
  </si>
  <si>
    <t>- - Có thể tích ngoài không quá 300 cm3</t>
  </si>
  <si>
    <t>K1059-K1222</t>
  </si>
  <si>
    <t>H231388</t>
  </si>
  <si>
    <t>421-26201-15-09</t>
  </si>
  <si>
    <t>BAT CYL AA AKL 1.5V DURACELL HASBRO</t>
  </si>
  <si>
    <t>K677-K887</t>
  </si>
  <si>
    <t>H231486</t>
  </si>
  <si>
    <t>440-05052-01-00</t>
  </si>
  <si>
    <r>
      <t>银光线</t>
    </r>
    <r>
      <rPr>
        <sz val="10"/>
        <rFont val="Arial"/>
        <charset val="134"/>
      </rPr>
      <t>/PO: 440-05052-01-00</t>
    </r>
  </si>
  <si>
    <t xml:space="preserve">JUMPER WIRE D=0.6MM </t>
  </si>
  <si>
    <t>G</t>
  </si>
  <si>
    <t>K31</t>
  </si>
  <si>
    <t>H231348</t>
  </si>
  <si>
    <t>442-22005-01-00</t>
  </si>
  <si>
    <t>端子线</t>
  </si>
  <si>
    <t>WIRE ASSY 7P P=2.0 28AWG UL1061 120MM W/PHR-7</t>
  </si>
  <si>
    <t>K926-K927</t>
  </si>
  <si>
    <t>442-22005-03-00</t>
  </si>
  <si>
    <t>WIRE ASSY 3P P=2.0 28AWG UL1061 40MM W/PHR-3</t>
  </si>
  <si>
    <t>K924-K925</t>
  </si>
  <si>
    <t>442-22005-05-00</t>
  </si>
  <si>
    <t>WIRE ASSY 7P P=2.0 28AWG UL1061 480MM W/PHR-7</t>
  </si>
  <si>
    <t>K916-K917</t>
  </si>
  <si>
    <t>442-22005-06-00</t>
  </si>
  <si>
    <t>WIRE ASSY 15P P=2.0 28AW G UL1061 170MM W/PHR-15</t>
  </si>
  <si>
    <t>K913-K915</t>
  </si>
  <si>
    <t>442-22005-11-00</t>
  </si>
  <si>
    <t>WIRE ASSY 10P P=2.0 28AW G UL1061 300MM W/PHR-10</t>
  </si>
  <si>
    <t>K928-K929</t>
  </si>
  <si>
    <t>442-22005-13-00</t>
  </si>
  <si>
    <t>WIRE ASSY 3P P=2.0 28AWG UL1061 510MM W/PHR-3</t>
  </si>
  <si>
    <t>K920</t>
  </si>
  <si>
    <t>442-22005-14-00</t>
  </si>
  <si>
    <t>WIRE ASSY P=2.0 28AWG UL1061 110MM W/PHR-5</t>
  </si>
  <si>
    <t>K921-K922</t>
  </si>
  <si>
    <t>442-22005-15-00</t>
  </si>
  <si>
    <t>WIRE ASSY 9P P=2.0 28AWG UL1061 450MM W/PHR-9</t>
  </si>
  <si>
    <t>K919</t>
  </si>
  <si>
    <t>442-22005-16-00</t>
  </si>
  <si>
    <t>WIRE ASSY 2P P=2.5 22AWG UL1007 400MM W/EHR-2</t>
  </si>
  <si>
    <t>K923</t>
  </si>
  <si>
    <t>442-22005-17-00</t>
  </si>
  <si>
    <t>WIRE ASSY 6P P=2.5 22 AW G UL1007 320+360MM W/XHP</t>
  </si>
  <si>
    <t>K918</t>
  </si>
  <si>
    <t>442-22005-18-00</t>
  </si>
  <si>
    <t>WIRE ASSY 6P P=2.5 22AWG UL1007 420+470MM W/XHP</t>
  </si>
  <si>
    <t>K912</t>
  </si>
  <si>
    <t>H231404</t>
  </si>
  <si>
    <t>455-22018-01-00</t>
  </si>
  <si>
    <t>导线</t>
  </si>
  <si>
    <t>CA FLAT PE 4WAY 28AWG P=2.54 3+45+3</t>
  </si>
  <si>
    <t>K962-K963</t>
  </si>
  <si>
    <t>455-22018-02-00</t>
  </si>
  <si>
    <t>CA FLAT PE 4WAY 28AWG P=2.54 3+70+3</t>
  </si>
  <si>
    <t>K964-K968</t>
  </si>
  <si>
    <t>502-82216-14-06</t>
  </si>
  <si>
    <t>铁螺钉</t>
  </si>
  <si>
    <t>SCREW ST/TAPT-P PAN PHIL MS BZN M1.4X6</t>
  </si>
  <si>
    <t>K30</t>
  </si>
  <si>
    <t>502-85216-40-10</t>
  </si>
  <si>
    <t>SCREW ST/TAPT-P BIND PHIL MS BZN M4x10</t>
  </si>
  <si>
    <t>K20-K29</t>
  </si>
  <si>
    <t>710-07051-01-00</t>
  </si>
  <si>
    <t>塑胶盖</t>
  </si>
  <si>
    <t>PLC TOP HOUSING WHITE TREX-8</t>
  </si>
  <si>
    <t>- Stoppers, lids, caps and other closures</t>
  </si>
  <si>
    <t>- Nút, nắp, mũ van và các nút đậy khác</t>
  </si>
  <si>
    <t>K19</t>
  </si>
  <si>
    <t>710-07051-02-00</t>
  </si>
  <si>
    <t>PLC BOTTOM HOUSING WHITE TREX-8</t>
  </si>
  <si>
    <t>710-22026-01-01</t>
  </si>
  <si>
    <t>PLC SP GRILL B SP GOKEYS5-WH</t>
  </si>
  <si>
    <t>- - In the form of granules</t>
  </si>
  <si>
    <t>- - Dạng hạt (SEN)</t>
  </si>
  <si>
    <t>K17</t>
  </si>
  <si>
    <t>710-22026-03-01</t>
  </si>
  <si>
    <t>PLC SP GRILL A SP GOKEYS5-WH</t>
  </si>
  <si>
    <t>K18</t>
  </si>
  <si>
    <t>722-05040-01-00</t>
  </si>
  <si>
    <t xml:space="preserve">P RUB KEY 10X10MM </t>
  </si>
  <si>
    <t>K01</t>
  </si>
  <si>
    <t>H231168</t>
  </si>
  <si>
    <t>750-21012-01-00</t>
  </si>
  <si>
    <t xml:space="preserve">MET-S TOP COVER GA-FC EX </t>
  </si>
  <si>
    <t>K930-K961</t>
  </si>
  <si>
    <t>H231510</t>
  </si>
  <si>
    <t>754-05021-03-00</t>
  </si>
  <si>
    <t>METAL BATT CONT AAA-VE</t>
  </si>
  <si>
    <t>K522</t>
  </si>
  <si>
    <t>754-05021-04-00</t>
  </si>
  <si>
    <t>METAL BATT CONT AAA+VE</t>
  </si>
  <si>
    <t>754-17042-01-00</t>
  </si>
  <si>
    <t xml:space="preserve">METAL BATT CONT AAA+/-VE </t>
  </si>
  <si>
    <t>K521</t>
  </si>
  <si>
    <t>K505-K507</t>
  </si>
  <si>
    <t>H230469</t>
  </si>
  <si>
    <t>762-20016-01-00</t>
  </si>
  <si>
    <t>泡棉垫</t>
  </si>
  <si>
    <t>FOAM RECTANGLE 17.5x15x2 MM BATT CASE CUBE-ST2</t>
  </si>
  <si>
    <t>K517</t>
  </si>
  <si>
    <t>H231414</t>
  </si>
  <si>
    <t>810-42033-30-01</t>
  </si>
  <si>
    <t>BAG PE 0.05 200x330 H5 R1/R4 W20</t>
  </si>
  <si>
    <t>K520</t>
  </si>
  <si>
    <t>H231520</t>
  </si>
  <si>
    <t>841-22018-01-00</t>
  </si>
  <si>
    <t>PRT USER MANUAL SIMON SPRING R CAT B</t>
  </si>
  <si>
    <t>K481-K497</t>
  </si>
  <si>
    <t>841-22018-02-01</t>
  </si>
  <si>
    <t>PRT LEAFLET SS AAA BATTE RY INFORMATION CAT B</t>
  </si>
  <si>
    <t>K498-K504</t>
  </si>
  <si>
    <t>841-22018-03-04</t>
  </si>
  <si>
    <t>PRT 5LEU27_CC_SMALL_PART _MAY_BE_GENERATED CAT B</t>
  </si>
  <si>
    <t>K479-K480</t>
  </si>
  <si>
    <t>H231390</t>
  </si>
  <si>
    <t>881-02122-06-01</t>
  </si>
  <si>
    <t>马达</t>
  </si>
  <si>
    <t>MOTOR SFE-130-15158-3 8+DV+EC ROHSA SCFMOTOR</t>
  </si>
  <si>
    <t>- - - - Other, of an output not exceeding 5 W</t>
  </si>
  <si>
    <t>- - - - Loại khác, công suất không quá 5 W</t>
  </si>
  <si>
    <t>K524-K676</t>
  </si>
  <si>
    <t>H231243</t>
  </si>
  <si>
    <t>882-22005-01-00</t>
  </si>
  <si>
    <t>电子琴开关</t>
  </si>
  <si>
    <t>MODULE BENDER SW 990-22005-10-00 GOKEYS3</t>
  </si>
  <si>
    <t>K969-K970</t>
  </si>
  <si>
    <t>H231043</t>
  </si>
  <si>
    <t>882-22018-01-00</t>
  </si>
  <si>
    <t>MODULE PCBA TS 990-22 018-10-00 SIMON SPRING R</t>
  </si>
  <si>
    <t>K1013-K1057</t>
  </si>
  <si>
    <t>H231394</t>
  </si>
  <si>
    <t>882-23012-01-00</t>
  </si>
  <si>
    <t>MODULE PCBA 990-23012- 10-00 POWER PUCK</t>
  </si>
  <si>
    <t>K1007-K1009</t>
  </si>
  <si>
    <t>H231089A</t>
  </si>
  <si>
    <t>883-16011-01-01</t>
  </si>
  <si>
    <r>
      <t>显示模组</t>
    </r>
    <r>
      <rPr>
        <sz val="10"/>
        <rFont val="Arial"/>
        <charset val="134"/>
      </rPr>
      <t>LCM_COG</t>
    </r>
  </si>
  <si>
    <t>LCM FSTN 63x30MM HSG1323 2-44-FTDLNS-R GT-1</t>
  </si>
  <si>
    <t>K888-K911</t>
  </si>
  <si>
    <t>K02-K16</t>
  </si>
  <si>
    <t>H231489</t>
  </si>
  <si>
    <t>887-23002-01-00</t>
  </si>
  <si>
    <t>无线蓝牙用模块</t>
  </si>
  <si>
    <t>MODULE PCBA 234MHz BLE-MIDI MODULE ATS2853</t>
  </si>
  <si>
    <t>K519</t>
  </si>
  <si>
    <t>230952-1109</t>
  </si>
  <si>
    <t>641-13031-01-00</t>
  </si>
  <si>
    <t>保护膜</t>
  </si>
  <si>
    <t>TAPE ADHESIVE CK-1508</t>
  </si>
  <si>
    <t>K1058</t>
  </si>
  <si>
    <t xml:space="preserve">  /</t>
  </si>
  <si>
    <t>H231542</t>
  </si>
  <si>
    <t>841-23012-01-00</t>
  </si>
  <si>
    <t>PRT USER MANUAL HYPER     SHOT CAT B</t>
  </si>
  <si>
    <t>49111090</t>
  </si>
  <si>
    <t>K971-K972</t>
  </si>
  <si>
    <t>Total:</t>
  </si>
</sst>
</file>

<file path=xl/styles.xml><?xml version="1.0" encoding="utf-8"?>
<styleSheet xmlns="http://schemas.openxmlformats.org/spreadsheetml/2006/main">
  <numFmts count="10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00_ "/>
    <numFmt numFmtId="177" formatCode="#,###"/>
    <numFmt numFmtId="178" formatCode="0_ "/>
    <numFmt numFmtId="179" formatCode="yyyy/mm/dd"/>
    <numFmt numFmtId="180" formatCode="\ mm\/dd\/yy"/>
    <numFmt numFmtId="181" formatCode="#,##0.0000"/>
  </numFmts>
  <fonts count="33">
    <font>
      <sz val="12"/>
      <color theme="1"/>
      <name val="宋体"/>
      <charset val="134"/>
      <scheme val="minor"/>
    </font>
    <font>
      <sz val="12"/>
      <name val="Arial"/>
      <charset val="134"/>
    </font>
    <font>
      <sz val="10"/>
      <name val="Arial"/>
      <charset val="134"/>
    </font>
    <font>
      <sz val="10"/>
      <name val="ARIAL"/>
      <charset val="134"/>
    </font>
    <font>
      <sz val="10"/>
      <color rgb="FF0000CC"/>
      <name val="ARIAL"/>
      <charset val="134"/>
    </font>
    <font>
      <b/>
      <sz val="10"/>
      <name val="Arial"/>
      <charset val="134"/>
    </font>
    <font>
      <b/>
      <sz val="12"/>
      <name val="Arial"/>
      <charset val="134"/>
    </font>
    <font>
      <sz val="10"/>
      <name val="宋体"/>
      <charset val="134"/>
    </font>
    <font>
      <sz val="10"/>
      <name val="ARIAL"/>
      <charset val="0"/>
    </font>
    <font>
      <sz val="10"/>
      <name val="Arial"/>
      <charset val="0"/>
    </font>
    <font>
      <sz val="10"/>
      <color rgb="FF0000CC"/>
      <name val="Arial"/>
      <charset val="134"/>
    </font>
    <font>
      <b/>
      <sz val="11"/>
      <color rgb="FF0000CC"/>
      <name val="Arial"/>
      <charset val="134"/>
    </font>
    <font>
      <b/>
      <sz val="10"/>
      <color rgb="FF0000CC"/>
      <name val="Arial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2" fillId="16" borderId="4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9" borderId="3" applyNumberFormat="0" applyFont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0" fillId="21" borderId="7" applyNumberFormat="0" applyAlignment="0" applyProtection="0">
      <alignment vertical="center"/>
    </xf>
    <xf numFmtId="0" fontId="23" fillId="21" borderId="4" applyNumberFormat="0" applyAlignment="0" applyProtection="0">
      <alignment vertical="center"/>
    </xf>
    <xf numFmtId="0" fontId="31" fillId="30" borderId="8" applyNumberForma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left" vertical="center" wrapText="1"/>
    </xf>
    <xf numFmtId="178" fontId="2" fillId="0" borderId="0" xfId="0" applyNumberFormat="1" applyFont="1" applyFill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left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177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176" fontId="5" fillId="0" borderId="1" xfId="0" applyNumberFormat="1" applyFont="1" applyFill="1" applyBorder="1" applyAlignment="1">
      <alignment horizontal="left" vertical="center" wrapText="1" readingOrder="1"/>
    </xf>
    <xf numFmtId="179" fontId="5" fillId="0" borderId="1" xfId="0" applyNumberFormat="1" applyFont="1" applyFill="1" applyBorder="1" applyAlignment="1">
      <alignment horizontal="left" vertical="center" wrapText="1"/>
    </xf>
    <xf numFmtId="180" fontId="2" fillId="0" borderId="1" xfId="0" applyNumberFormat="1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left" vertical="center"/>
    </xf>
    <xf numFmtId="181" fontId="2" fillId="0" borderId="1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177" fontId="3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horizontal="left" vertical="center"/>
    </xf>
    <xf numFmtId="180" fontId="3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177" fontId="2" fillId="0" borderId="1" xfId="0" applyNumberFormat="1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177" fontId="10" fillId="0" borderId="0" xfId="0" applyNumberFormat="1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NumberFormat="1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12" fillId="0" borderId="0" xfId="0" applyFont="1" applyFill="1" applyBorder="1" applyAlignment="1">
      <alignment horizontal="left" vertical="center"/>
    </xf>
    <xf numFmtId="180" fontId="10" fillId="0" borderId="0" xfId="0" applyNumberFormat="1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2D050"/>
      <color rgb="000066CC"/>
      <color rgb="001D22F9"/>
      <color rgb="00FFC000"/>
      <color rgb="000000FF"/>
      <color rgb="00FF0000"/>
      <color rgb="00FFFF00"/>
      <color rgb="001A24FC"/>
      <color rgb="00000000"/>
      <color rgb="0000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S203"/>
  <sheetViews>
    <sheetView tabSelected="1" zoomScale="98" zoomScaleNormal="98" workbookViewId="0">
      <selection activeCell="A2" sqref="A2"/>
    </sheetView>
  </sheetViews>
  <sheetFormatPr defaultColWidth="6" defaultRowHeight="33.95" customHeight="1"/>
  <cols>
    <col min="1" max="1" width="5.125" style="7" customWidth="1"/>
    <col min="2" max="2" width="7.5" style="8" customWidth="1"/>
    <col min="3" max="3" width="9.625" style="8" customWidth="1"/>
    <col min="4" max="4" width="4.875" style="8" customWidth="1"/>
    <col min="5" max="5" width="4.75" style="8" customWidth="1"/>
    <col min="6" max="6" width="15.75" style="8" customWidth="1"/>
    <col min="7" max="7" width="16.625" style="8" customWidth="1"/>
    <col min="8" max="8" width="21.5" style="3" customWidth="1"/>
    <col min="9" max="9" width="15.3083333333333" style="8" customWidth="1"/>
    <col min="10" max="11" width="20.1416666666667" style="8" customWidth="1"/>
    <col min="12" max="12" width="13.25" style="8" customWidth="1"/>
    <col min="13" max="13" width="8.625" style="8" customWidth="1"/>
    <col min="14" max="14" width="9.5" style="9" customWidth="1"/>
    <col min="15" max="15" width="8.875" style="10" customWidth="1"/>
    <col min="16" max="16" width="18.4916666666667" style="11" customWidth="1"/>
    <col min="17" max="17" width="13.75" style="11" customWidth="1"/>
    <col min="18" max="18" width="11.2166666666667" style="11" customWidth="1"/>
    <col min="19" max="19" width="14.5416666666667" style="8" customWidth="1"/>
    <col min="20" max="20" width="14.4166666666667" style="8" customWidth="1"/>
    <col min="21" max="21" width="11.375" style="8" customWidth="1"/>
    <col min="22" max="22" width="11.9916666666667" style="8" customWidth="1"/>
    <col min="23" max="16384" width="6" style="8"/>
  </cols>
  <sheetData>
    <row r="1" s="1" customFormat="1" customHeight="1" spans="1:22">
      <c r="A1" s="12" t="s">
        <v>0</v>
      </c>
      <c r="B1" s="8"/>
      <c r="C1" s="8"/>
      <c r="D1" s="8"/>
      <c r="E1" s="8"/>
      <c r="F1" s="8"/>
      <c r="G1" s="8"/>
      <c r="H1" s="3"/>
      <c r="I1" s="8"/>
      <c r="J1" s="8"/>
      <c r="K1" s="8"/>
      <c r="L1" s="8"/>
      <c r="M1" s="8"/>
      <c r="N1" s="10"/>
      <c r="O1" s="10"/>
      <c r="P1" s="11"/>
      <c r="Q1" s="11"/>
      <c r="R1" s="11"/>
      <c r="S1" s="8"/>
      <c r="T1" s="8"/>
      <c r="U1" s="8"/>
      <c r="V1" s="8"/>
    </row>
    <row r="2" s="2" customFormat="1" customHeight="1" spans="1:22">
      <c r="A2" s="13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5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23" t="s">
        <v>14</v>
      </c>
      <c r="O2" s="23" t="s">
        <v>15</v>
      </c>
      <c r="P2" s="23" t="s">
        <v>16</v>
      </c>
      <c r="Q2" s="23" t="s">
        <v>17</v>
      </c>
      <c r="R2" s="23" t="s">
        <v>18</v>
      </c>
      <c r="S2" s="14" t="s">
        <v>19</v>
      </c>
      <c r="T2" s="29" t="s">
        <v>20</v>
      </c>
      <c r="U2" s="30" t="s">
        <v>21</v>
      </c>
      <c r="V2" s="14" t="s">
        <v>22</v>
      </c>
    </row>
    <row r="3" s="3" customFormat="1" ht="30" customHeight="1" spans="1:22">
      <c r="A3" s="16">
        <v>1</v>
      </c>
      <c r="B3" s="17" t="s">
        <v>23</v>
      </c>
      <c r="C3" s="17" t="s">
        <v>24</v>
      </c>
      <c r="D3" s="18">
        <v>1</v>
      </c>
      <c r="E3" s="17" t="s">
        <v>25</v>
      </c>
      <c r="F3" s="17" t="s">
        <v>26</v>
      </c>
      <c r="G3" s="19" t="s">
        <v>27</v>
      </c>
      <c r="H3" s="17" t="s">
        <v>28</v>
      </c>
      <c r="I3" s="17" t="s">
        <v>29</v>
      </c>
      <c r="J3" s="17" t="s">
        <v>30</v>
      </c>
      <c r="K3" s="17" t="s">
        <v>31</v>
      </c>
      <c r="L3" s="17" t="s">
        <v>32</v>
      </c>
      <c r="M3" s="17" t="s">
        <v>33</v>
      </c>
      <c r="N3" s="24">
        <v>800</v>
      </c>
      <c r="O3" s="17">
        <v>3</v>
      </c>
      <c r="P3" s="25" t="s">
        <v>34</v>
      </c>
      <c r="Q3" s="17">
        <v>12.33</v>
      </c>
      <c r="R3" s="17">
        <v>9.01</v>
      </c>
      <c r="S3" s="17">
        <v>1.0402</v>
      </c>
      <c r="T3" s="17">
        <f>N3*S3</f>
        <v>832.16</v>
      </c>
      <c r="U3" s="31">
        <v>45163</v>
      </c>
      <c r="V3" s="25">
        <v>2329208</v>
      </c>
    </row>
    <row r="4" s="3" customFormat="1" ht="30" customHeight="1" spans="1:227">
      <c r="A4" s="16">
        <v>2</v>
      </c>
      <c r="B4" s="17" t="s">
        <v>23</v>
      </c>
      <c r="C4" s="17" t="s">
        <v>35</v>
      </c>
      <c r="D4" s="18">
        <v>2</v>
      </c>
      <c r="E4" s="17" t="s">
        <v>25</v>
      </c>
      <c r="F4" s="20" t="s">
        <v>36</v>
      </c>
      <c r="G4" s="21" t="s">
        <v>37</v>
      </c>
      <c r="H4" s="17" t="s">
        <v>38</v>
      </c>
      <c r="I4" s="25">
        <v>85444229</v>
      </c>
      <c r="J4" s="17" t="s">
        <v>39</v>
      </c>
      <c r="K4" s="17" t="s">
        <v>40</v>
      </c>
      <c r="L4" s="17" t="s">
        <v>32</v>
      </c>
      <c r="M4" s="17" t="s">
        <v>33</v>
      </c>
      <c r="N4" s="24">
        <v>3000</v>
      </c>
      <c r="O4" s="17">
        <v>25</v>
      </c>
      <c r="P4" s="25" t="s">
        <v>41</v>
      </c>
      <c r="Q4" s="17">
        <v>295</v>
      </c>
      <c r="R4" s="17">
        <v>272.4</v>
      </c>
      <c r="S4" s="17">
        <v>0.6612</v>
      </c>
      <c r="T4" s="17">
        <f t="shared" ref="T4:T35" si="0">N4*S4</f>
        <v>1983.6</v>
      </c>
      <c r="U4" s="31">
        <v>45174</v>
      </c>
      <c r="V4" s="32" t="s">
        <v>42</v>
      </c>
      <c r="HS4" s="34"/>
    </row>
    <row r="5" s="3" customFormat="1" ht="30" customHeight="1" spans="1:22">
      <c r="A5" s="16">
        <v>3</v>
      </c>
      <c r="B5" s="17" t="s">
        <v>23</v>
      </c>
      <c r="C5" s="17" t="s">
        <v>43</v>
      </c>
      <c r="D5" s="18">
        <v>1</v>
      </c>
      <c r="E5" s="17" t="s">
        <v>25</v>
      </c>
      <c r="F5" s="17" t="s">
        <v>44</v>
      </c>
      <c r="G5" s="21" t="s">
        <v>45</v>
      </c>
      <c r="H5" s="17" t="s">
        <v>46</v>
      </c>
      <c r="I5" s="25">
        <v>85340010</v>
      </c>
      <c r="J5" s="17" t="s">
        <v>47</v>
      </c>
      <c r="K5" s="17" t="s">
        <v>48</v>
      </c>
      <c r="L5" s="17" t="s">
        <v>32</v>
      </c>
      <c r="M5" s="17" t="s">
        <v>33</v>
      </c>
      <c r="N5" s="24">
        <v>66100</v>
      </c>
      <c r="O5" s="17">
        <v>3</v>
      </c>
      <c r="P5" s="25" t="s">
        <v>49</v>
      </c>
      <c r="Q5" s="17">
        <v>41.1</v>
      </c>
      <c r="R5" s="17">
        <v>13.88</v>
      </c>
      <c r="S5" s="17">
        <v>0.0173</v>
      </c>
      <c r="T5" s="17">
        <f t="shared" si="0"/>
        <v>1143.53</v>
      </c>
      <c r="U5" s="31">
        <v>45194</v>
      </c>
      <c r="V5" s="25">
        <v>2331576</v>
      </c>
    </row>
    <row r="6" s="3" customFormat="1" ht="30" customHeight="1" spans="1:22">
      <c r="A6" s="16">
        <v>4</v>
      </c>
      <c r="B6" s="17" t="s">
        <v>23</v>
      </c>
      <c r="C6" s="17" t="s">
        <v>43</v>
      </c>
      <c r="D6" s="18">
        <v>2</v>
      </c>
      <c r="E6" s="17" t="s">
        <v>25</v>
      </c>
      <c r="F6" s="17" t="s">
        <v>50</v>
      </c>
      <c r="G6" s="21" t="s">
        <v>45</v>
      </c>
      <c r="H6" s="17" t="s">
        <v>51</v>
      </c>
      <c r="I6" s="25">
        <v>85340010</v>
      </c>
      <c r="J6" s="17" t="s">
        <v>47</v>
      </c>
      <c r="K6" s="17" t="s">
        <v>48</v>
      </c>
      <c r="L6" s="17" t="s">
        <v>32</v>
      </c>
      <c r="M6" s="17" t="s">
        <v>33</v>
      </c>
      <c r="N6" s="24">
        <v>66100</v>
      </c>
      <c r="O6" s="17">
        <v>0</v>
      </c>
      <c r="P6" s="25" t="s">
        <v>49</v>
      </c>
      <c r="Q6" s="17">
        <v>0</v>
      </c>
      <c r="R6" s="17">
        <v>10.58</v>
      </c>
      <c r="S6" s="17">
        <v>0.0173</v>
      </c>
      <c r="T6" s="17">
        <f t="shared" si="0"/>
        <v>1143.53</v>
      </c>
      <c r="U6" s="31">
        <v>45194</v>
      </c>
      <c r="V6" s="25">
        <v>2331577</v>
      </c>
    </row>
    <row r="7" s="3" customFormat="1" ht="30" customHeight="1" spans="1:22">
      <c r="A7" s="16">
        <v>5</v>
      </c>
      <c r="B7" s="17" t="s">
        <v>23</v>
      </c>
      <c r="C7" s="17" t="s">
        <v>43</v>
      </c>
      <c r="D7" s="18">
        <v>3</v>
      </c>
      <c r="E7" s="17" t="s">
        <v>25</v>
      </c>
      <c r="F7" s="17" t="s">
        <v>52</v>
      </c>
      <c r="G7" s="21" t="s">
        <v>45</v>
      </c>
      <c r="H7" s="17" t="s">
        <v>53</v>
      </c>
      <c r="I7" s="25">
        <v>85340010</v>
      </c>
      <c r="J7" s="17" t="s">
        <v>47</v>
      </c>
      <c r="K7" s="17" t="s">
        <v>48</v>
      </c>
      <c r="L7" s="17" t="s">
        <v>32</v>
      </c>
      <c r="M7" s="17" t="s">
        <v>33</v>
      </c>
      <c r="N7" s="24">
        <v>66100</v>
      </c>
      <c r="O7" s="17">
        <v>0</v>
      </c>
      <c r="P7" s="25" t="s">
        <v>49</v>
      </c>
      <c r="Q7" s="17">
        <v>0</v>
      </c>
      <c r="R7" s="17">
        <v>10.58</v>
      </c>
      <c r="S7" s="17">
        <v>0.0173</v>
      </c>
      <c r="T7" s="17">
        <f t="shared" si="0"/>
        <v>1143.53</v>
      </c>
      <c r="U7" s="31">
        <v>45194</v>
      </c>
      <c r="V7" s="25">
        <v>2331578</v>
      </c>
    </row>
    <row r="8" s="3" customFormat="1" ht="30" customHeight="1" spans="1:22">
      <c r="A8" s="16">
        <v>6</v>
      </c>
      <c r="B8" s="17" t="s">
        <v>23</v>
      </c>
      <c r="C8" s="17" t="s">
        <v>54</v>
      </c>
      <c r="D8" s="18">
        <v>1</v>
      </c>
      <c r="E8" s="17" t="s">
        <v>25</v>
      </c>
      <c r="F8" s="17" t="s">
        <v>55</v>
      </c>
      <c r="G8" s="19" t="s">
        <v>56</v>
      </c>
      <c r="H8" s="17" t="s">
        <v>57</v>
      </c>
      <c r="I8" s="25">
        <v>85340030</v>
      </c>
      <c r="J8" s="17" t="s">
        <v>58</v>
      </c>
      <c r="K8" s="17" t="s">
        <v>59</v>
      </c>
      <c r="L8" s="17" t="s">
        <v>32</v>
      </c>
      <c r="M8" s="17" t="s">
        <v>33</v>
      </c>
      <c r="N8" s="24">
        <v>3600</v>
      </c>
      <c r="O8" s="17">
        <v>9</v>
      </c>
      <c r="P8" s="25" t="s">
        <v>60</v>
      </c>
      <c r="Q8" s="17">
        <v>164.43</v>
      </c>
      <c r="R8" s="17">
        <v>160.81</v>
      </c>
      <c r="S8" s="17">
        <v>1.0384</v>
      </c>
      <c r="T8" s="17">
        <f t="shared" si="0"/>
        <v>3738.24</v>
      </c>
      <c r="U8" s="31">
        <v>45174</v>
      </c>
      <c r="V8" s="25">
        <v>2332053</v>
      </c>
    </row>
    <row r="9" s="3" customFormat="1" ht="30" customHeight="1" spans="1:22">
      <c r="A9" s="16">
        <v>7</v>
      </c>
      <c r="B9" s="17" t="s">
        <v>23</v>
      </c>
      <c r="C9" s="17" t="s">
        <v>61</v>
      </c>
      <c r="D9" s="18">
        <v>1</v>
      </c>
      <c r="E9" s="17" t="s">
        <v>25</v>
      </c>
      <c r="F9" s="17" t="s">
        <v>62</v>
      </c>
      <c r="G9" s="19" t="s">
        <v>45</v>
      </c>
      <c r="H9" s="17" t="s">
        <v>63</v>
      </c>
      <c r="I9" s="25">
        <v>85340030</v>
      </c>
      <c r="J9" s="17" t="s">
        <v>58</v>
      </c>
      <c r="K9" s="17" t="s">
        <v>59</v>
      </c>
      <c r="L9" s="17" t="s">
        <v>32</v>
      </c>
      <c r="M9" s="17" t="s">
        <v>33</v>
      </c>
      <c r="N9" s="24">
        <v>6300</v>
      </c>
      <c r="O9" s="17">
        <v>28</v>
      </c>
      <c r="P9" s="25" t="s">
        <v>64</v>
      </c>
      <c r="Q9" s="17">
        <v>414.4</v>
      </c>
      <c r="R9" s="17">
        <v>382.66</v>
      </c>
      <c r="S9" s="17">
        <v>2.7154</v>
      </c>
      <c r="T9" s="17">
        <f t="shared" si="0"/>
        <v>17107.02</v>
      </c>
      <c r="U9" s="31">
        <v>45174</v>
      </c>
      <c r="V9" s="25">
        <v>2331921</v>
      </c>
    </row>
    <row r="10" s="3" customFormat="1" ht="30" customHeight="1" spans="1:22">
      <c r="A10" s="16">
        <v>8</v>
      </c>
      <c r="B10" s="17" t="s">
        <v>23</v>
      </c>
      <c r="C10" s="17" t="s">
        <v>65</v>
      </c>
      <c r="D10" s="18">
        <v>7</v>
      </c>
      <c r="E10" s="17" t="s">
        <v>25</v>
      </c>
      <c r="F10" s="17" t="s">
        <v>66</v>
      </c>
      <c r="G10" s="19" t="s">
        <v>67</v>
      </c>
      <c r="H10" s="17" t="s">
        <v>68</v>
      </c>
      <c r="I10" s="25">
        <v>85332100</v>
      </c>
      <c r="J10" s="17" t="s">
        <v>69</v>
      </c>
      <c r="K10" s="17" t="s">
        <v>70</v>
      </c>
      <c r="L10" s="17" t="s">
        <v>32</v>
      </c>
      <c r="M10" s="17" t="s">
        <v>33</v>
      </c>
      <c r="N10" s="24">
        <v>10000</v>
      </c>
      <c r="O10" s="17">
        <v>1</v>
      </c>
      <c r="P10" s="25" t="s">
        <v>71</v>
      </c>
      <c r="Q10" s="17">
        <v>0.33</v>
      </c>
      <c r="R10" s="17">
        <v>0.07</v>
      </c>
      <c r="S10" s="33">
        <v>0.0107</v>
      </c>
      <c r="T10" s="17">
        <f t="shared" si="0"/>
        <v>107</v>
      </c>
      <c r="U10" s="31">
        <v>45170</v>
      </c>
      <c r="V10" s="25">
        <v>2331814</v>
      </c>
    </row>
    <row r="11" s="3" customFormat="1" ht="30" customHeight="1" spans="1:22">
      <c r="A11" s="16">
        <v>9</v>
      </c>
      <c r="B11" s="17" t="s">
        <v>23</v>
      </c>
      <c r="C11" s="17" t="s">
        <v>72</v>
      </c>
      <c r="D11" s="18">
        <v>1</v>
      </c>
      <c r="E11" s="17" t="s">
        <v>25</v>
      </c>
      <c r="F11" s="17" t="s">
        <v>73</v>
      </c>
      <c r="G11" s="19" t="s">
        <v>74</v>
      </c>
      <c r="H11" s="17" t="s">
        <v>75</v>
      </c>
      <c r="I11" s="25">
        <v>85322200</v>
      </c>
      <c r="J11" s="17" t="s">
        <v>76</v>
      </c>
      <c r="K11" s="17" t="s">
        <v>77</v>
      </c>
      <c r="L11" s="17" t="s">
        <v>32</v>
      </c>
      <c r="M11" s="17" t="s">
        <v>33</v>
      </c>
      <c r="N11" s="24">
        <v>34000</v>
      </c>
      <c r="O11" s="17">
        <v>2</v>
      </c>
      <c r="P11" s="25" t="s">
        <v>78</v>
      </c>
      <c r="Q11" s="17">
        <v>8.04</v>
      </c>
      <c r="R11" s="17">
        <v>7.48</v>
      </c>
      <c r="S11" s="17">
        <v>0.0092</v>
      </c>
      <c r="T11" s="17">
        <f t="shared" si="0"/>
        <v>312.8</v>
      </c>
      <c r="U11" s="31">
        <v>45180</v>
      </c>
      <c r="V11" s="25">
        <v>2331559</v>
      </c>
    </row>
    <row r="12" s="3" customFormat="1" ht="30" customHeight="1" spans="1:22">
      <c r="A12" s="16">
        <v>10</v>
      </c>
      <c r="B12" s="17" t="s">
        <v>23</v>
      </c>
      <c r="C12" s="17" t="s">
        <v>79</v>
      </c>
      <c r="D12" s="18">
        <v>1</v>
      </c>
      <c r="E12" s="17" t="s">
        <v>25</v>
      </c>
      <c r="F12" s="17" t="s">
        <v>80</v>
      </c>
      <c r="G12" s="19" t="s">
        <v>74</v>
      </c>
      <c r="H12" s="17" t="s">
        <v>81</v>
      </c>
      <c r="I12" s="25">
        <v>85322200</v>
      </c>
      <c r="J12" s="17" t="s">
        <v>76</v>
      </c>
      <c r="K12" s="17" t="s">
        <v>77</v>
      </c>
      <c r="L12" s="17" t="s">
        <v>32</v>
      </c>
      <c r="M12" s="17" t="s">
        <v>33</v>
      </c>
      <c r="N12" s="24">
        <v>77000</v>
      </c>
      <c r="O12" s="17">
        <v>2</v>
      </c>
      <c r="P12" s="25" t="s">
        <v>82</v>
      </c>
      <c r="Q12" s="17">
        <v>17.18</v>
      </c>
      <c r="R12" s="17">
        <v>16.94</v>
      </c>
      <c r="S12" s="17">
        <v>0.0078</v>
      </c>
      <c r="T12" s="17">
        <f t="shared" si="0"/>
        <v>600.6</v>
      </c>
      <c r="U12" s="31">
        <v>45180</v>
      </c>
      <c r="V12" s="25">
        <v>2331560</v>
      </c>
    </row>
    <row r="13" s="3" customFormat="1" ht="30" customHeight="1" spans="1:22">
      <c r="A13" s="16">
        <v>11</v>
      </c>
      <c r="B13" s="17" t="s">
        <v>23</v>
      </c>
      <c r="C13" s="17" t="s">
        <v>83</v>
      </c>
      <c r="D13" s="18">
        <v>47</v>
      </c>
      <c r="E13" s="17" t="s">
        <v>25</v>
      </c>
      <c r="F13" s="17" t="s">
        <v>84</v>
      </c>
      <c r="G13" s="19" t="s">
        <v>85</v>
      </c>
      <c r="H13" s="17" t="s">
        <v>86</v>
      </c>
      <c r="I13" s="25">
        <v>85322400</v>
      </c>
      <c r="J13" s="17" t="s">
        <v>87</v>
      </c>
      <c r="K13" s="17" t="s">
        <v>88</v>
      </c>
      <c r="L13" s="17" t="s">
        <v>32</v>
      </c>
      <c r="M13" s="17" t="s">
        <v>33</v>
      </c>
      <c r="N13" s="24">
        <v>10000</v>
      </c>
      <c r="O13" s="17">
        <v>1</v>
      </c>
      <c r="P13" s="25" t="s">
        <v>89</v>
      </c>
      <c r="Q13" s="17">
        <v>0.17</v>
      </c>
      <c r="R13" s="17">
        <v>0.01</v>
      </c>
      <c r="S13" s="17">
        <v>0.0047</v>
      </c>
      <c r="T13" s="17">
        <f t="shared" si="0"/>
        <v>47</v>
      </c>
      <c r="U13" s="31">
        <v>45174</v>
      </c>
      <c r="V13" s="25">
        <v>2331516</v>
      </c>
    </row>
    <row r="14" s="3" customFormat="1" ht="30" customHeight="1" spans="1:22">
      <c r="A14" s="16">
        <v>12</v>
      </c>
      <c r="B14" s="17" t="s">
        <v>23</v>
      </c>
      <c r="C14" s="17" t="s">
        <v>90</v>
      </c>
      <c r="D14" s="18">
        <v>1</v>
      </c>
      <c r="E14" s="17" t="s">
        <v>25</v>
      </c>
      <c r="F14" s="17" t="s">
        <v>91</v>
      </c>
      <c r="G14" s="22" t="s">
        <v>92</v>
      </c>
      <c r="H14" s="17" t="s">
        <v>93</v>
      </c>
      <c r="I14" s="25">
        <v>85322100</v>
      </c>
      <c r="J14" s="17" t="s">
        <v>94</v>
      </c>
      <c r="K14" s="17" t="s">
        <v>95</v>
      </c>
      <c r="L14" s="26" t="s">
        <v>96</v>
      </c>
      <c r="M14" s="17" t="s">
        <v>33</v>
      </c>
      <c r="N14" s="24">
        <v>8000</v>
      </c>
      <c r="O14" s="17">
        <v>2</v>
      </c>
      <c r="P14" s="25" t="s">
        <v>97</v>
      </c>
      <c r="Q14" s="17">
        <v>1.1</v>
      </c>
      <c r="R14" s="17">
        <v>0.28</v>
      </c>
      <c r="S14" s="17">
        <v>0.0785</v>
      </c>
      <c r="T14" s="17">
        <f t="shared" si="0"/>
        <v>628</v>
      </c>
      <c r="U14" s="31">
        <v>45219</v>
      </c>
      <c r="V14" s="25">
        <v>2331857</v>
      </c>
    </row>
    <row r="15" s="3" customFormat="1" ht="30" customHeight="1" spans="1:22">
      <c r="A15" s="16">
        <v>13</v>
      </c>
      <c r="B15" s="17" t="s">
        <v>23</v>
      </c>
      <c r="C15" s="17" t="s">
        <v>98</v>
      </c>
      <c r="D15" s="18">
        <v>1</v>
      </c>
      <c r="E15" s="17" t="s">
        <v>25</v>
      </c>
      <c r="F15" s="17" t="s">
        <v>91</v>
      </c>
      <c r="G15" s="22" t="s">
        <v>92</v>
      </c>
      <c r="H15" s="17" t="s">
        <v>93</v>
      </c>
      <c r="I15" s="25">
        <v>85322100</v>
      </c>
      <c r="J15" s="17" t="s">
        <v>94</v>
      </c>
      <c r="K15" s="17" t="s">
        <v>95</v>
      </c>
      <c r="L15" s="26" t="s">
        <v>96</v>
      </c>
      <c r="M15" s="17" t="s">
        <v>33</v>
      </c>
      <c r="N15" s="24">
        <v>8000</v>
      </c>
      <c r="O15" s="17">
        <v>0</v>
      </c>
      <c r="P15" s="25" t="s">
        <v>97</v>
      </c>
      <c r="Q15" s="17">
        <v>0</v>
      </c>
      <c r="R15" s="17">
        <v>0.28</v>
      </c>
      <c r="S15" s="17">
        <v>0.0785</v>
      </c>
      <c r="T15" s="17">
        <f t="shared" si="0"/>
        <v>628</v>
      </c>
      <c r="U15" s="31">
        <v>45219</v>
      </c>
      <c r="V15" s="25">
        <v>2331858</v>
      </c>
    </row>
    <row r="16" s="3" customFormat="1" ht="30" customHeight="1" spans="1:22">
      <c r="A16" s="16">
        <v>14</v>
      </c>
      <c r="B16" s="17" t="s">
        <v>23</v>
      </c>
      <c r="C16" s="17" t="s">
        <v>98</v>
      </c>
      <c r="D16" s="18">
        <v>3</v>
      </c>
      <c r="E16" s="17" t="s">
        <v>25</v>
      </c>
      <c r="F16" s="17" t="s">
        <v>99</v>
      </c>
      <c r="G16" s="22" t="s">
        <v>100</v>
      </c>
      <c r="H16" s="17" t="s">
        <v>101</v>
      </c>
      <c r="I16" s="25">
        <v>85322100</v>
      </c>
      <c r="J16" s="17" t="s">
        <v>94</v>
      </c>
      <c r="K16" s="17" t="s">
        <v>95</v>
      </c>
      <c r="L16" s="26" t="s">
        <v>96</v>
      </c>
      <c r="M16" s="17" t="s">
        <v>33</v>
      </c>
      <c r="N16" s="24">
        <v>6000</v>
      </c>
      <c r="O16" s="17">
        <v>1</v>
      </c>
      <c r="P16" s="25" t="s">
        <v>102</v>
      </c>
      <c r="Q16" s="17">
        <v>0.38</v>
      </c>
      <c r="R16" s="17">
        <v>0.06</v>
      </c>
      <c r="S16" s="17">
        <v>0.1254</v>
      </c>
      <c r="T16" s="17">
        <f t="shared" si="0"/>
        <v>752.4</v>
      </c>
      <c r="U16" s="31">
        <v>45163</v>
      </c>
      <c r="V16" s="25">
        <v>2331809</v>
      </c>
    </row>
    <row r="17" s="3" customFormat="1" ht="30" customHeight="1" spans="1:22">
      <c r="A17" s="16">
        <v>15</v>
      </c>
      <c r="B17" s="17" t="s">
        <v>23</v>
      </c>
      <c r="C17" s="17" t="s">
        <v>103</v>
      </c>
      <c r="D17" s="18">
        <v>4</v>
      </c>
      <c r="E17" s="17" t="s">
        <v>25</v>
      </c>
      <c r="F17" s="17" t="s">
        <v>104</v>
      </c>
      <c r="G17" s="22" t="s">
        <v>100</v>
      </c>
      <c r="H17" s="17" t="s">
        <v>105</v>
      </c>
      <c r="I17" s="25">
        <v>85322100</v>
      </c>
      <c r="J17" s="17" t="s">
        <v>94</v>
      </c>
      <c r="K17" s="17" t="s">
        <v>95</v>
      </c>
      <c r="L17" s="26" t="s">
        <v>96</v>
      </c>
      <c r="M17" s="17" t="s">
        <v>33</v>
      </c>
      <c r="N17" s="24">
        <v>6000</v>
      </c>
      <c r="O17" s="17">
        <v>2</v>
      </c>
      <c r="P17" s="25" t="s">
        <v>106</v>
      </c>
      <c r="Q17" s="17">
        <v>1</v>
      </c>
      <c r="R17" s="17">
        <v>0.09</v>
      </c>
      <c r="S17" s="33">
        <v>0.204</v>
      </c>
      <c r="T17" s="17">
        <f t="shared" si="0"/>
        <v>1224</v>
      </c>
      <c r="U17" s="31">
        <v>45170</v>
      </c>
      <c r="V17" s="25">
        <v>2331810</v>
      </c>
    </row>
    <row r="18" s="3" customFormat="1" ht="30" customHeight="1" spans="1:22">
      <c r="A18" s="16">
        <v>16</v>
      </c>
      <c r="B18" s="17" t="s">
        <v>23</v>
      </c>
      <c r="C18" s="17" t="s">
        <v>107</v>
      </c>
      <c r="D18" s="18">
        <v>1</v>
      </c>
      <c r="E18" s="17" t="s">
        <v>25</v>
      </c>
      <c r="F18" s="17" t="s">
        <v>108</v>
      </c>
      <c r="G18" s="22" t="s">
        <v>109</v>
      </c>
      <c r="H18" s="17" t="s">
        <v>110</v>
      </c>
      <c r="I18" s="25">
        <v>85322200</v>
      </c>
      <c r="J18" s="17" t="s">
        <v>76</v>
      </c>
      <c r="K18" s="17" t="s">
        <v>77</v>
      </c>
      <c r="L18" s="27" t="s">
        <v>111</v>
      </c>
      <c r="M18" s="17" t="s">
        <v>33</v>
      </c>
      <c r="N18" s="24">
        <v>5000</v>
      </c>
      <c r="O18" s="17">
        <v>1</v>
      </c>
      <c r="P18" s="25" t="s">
        <v>112</v>
      </c>
      <c r="Q18" s="17">
        <v>4.22</v>
      </c>
      <c r="R18" s="17">
        <v>1.4</v>
      </c>
      <c r="S18" s="33">
        <v>0.0514</v>
      </c>
      <c r="T18" s="17">
        <f t="shared" si="0"/>
        <v>257</v>
      </c>
      <c r="U18" s="31">
        <v>45170</v>
      </c>
      <c r="V18" s="25">
        <v>2331808</v>
      </c>
    </row>
    <row r="19" s="3" customFormat="1" ht="30" customHeight="1" spans="1:22">
      <c r="A19" s="16">
        <v>17</v>
      </c>
      <c r="B19" s="17" t="s">
        <v>23</v>
      </c>
      <c r="C19" s="17" t="s">
        <v>107</v>
      </c>
      <c r="D19" s="18">
        <v>2</v>
      </c>
      <c r="E19" s="17" t="s">
        <v>25</v>
      </c>
      <c r="F19" s="17" t="s">
        <v>113</v>
      </c>
      <c r="G19" s="22" t="s">
        <v>109</v>
      </c>
      <c r="H19" s="17" t="s">
        <v>114</v>
      </c>
      <c r="I19" s="25">
        <v>85322200</v>
      </c>
      <c r="J19" s="17" t="s">
        <v>76</v>
      </c>
      <c r="K19" s="17" t="s">
        <v>77</v>
      </c>
      <c r="L19" s="27" t="s">
        <v>111</v>
      </c>
      <c r="M19" s="17" t="s">
        <v>33</v>
      </c>
      <c r="N19" s="24">
        <v>25000</v>
      </c>
      <c r="O19" s="17">
        <v>3</v>
      </c>
      <c r="P19" s="25" t="s">
        <v>115</v>
      </c>
      <c r="Q19" s="17">
        <v>19.53</v>
      </c>
      <c r="R19" s="17">
        <v>6.75</v>
      </c>
      <c r="S19" s="33">
        <v>0.0386</v>
      </c>
      <c r="T19" s="17">
        <f t="shared" si="0"/>
        <v>965</v>
      </c>
      <c r="U19" s="31">
        <v>45170</v>
      </c>
      <c r="V19" s="25">
        <v>2331805</v>
      </c>
    </row>
    <row r="20" s="3" customFormat="1" ht="30" customHeight="1" spans="1:22">
      <c r="A20" s="16">
        <v>18</v>
      </c>
      <c r="B20" s="17" t="s">
        <v>23</v>
      </c>
      <c r="C20" s="17" t="s">
        <v>107</v>
      </c>
      <c r="D20" s="18">
        <v>3</v>
      </c>
      <c r="E20" s="17" t="s">
        <v>25</v>
      </c>
      <c r="F20" s="17" t="s">
        <v>116</v>
      </c>
      <c r="G20" s="22" t="s">
        <v>109</v>
      </c>
      <c r="H20" s="17" t="s">
        <v>117</v>
      </c>
      <c r="I20" s="25">
        <v>85322200</v>
      </c>
      <c r="J20" s="17" t="s">
        <v>76</v>
      </c>
      <c r="K20" s="17" t="s">
        <v>77</v>
      </c>
      <c r="L20" s="27" t="s">
        <v>111</v>
      </c>
      <c r="M20" s="17" t="s">
        <v>33</v>
      </c>
      <c r="N20" s="24">
        <v>9000</v>
      </c>
      <c r="O20" s="17">
        <v>3</v>
      </c>
      <c r="P20" s="25" t="s">
        <v>118</v>
      </c>
      <c r="Q20" s="17">
        <v>22.28</v>
      </c>
      <c r="R20" s="17">
        <v>3.78</v>
      </c>
      <c r="S20" s="17">
        <v>0.0708</v>
      </c>
      <c r="T20" s="17">
        <f t="shared" si="0"/>
        <v>637.2</v>
      </c>
      <c r="U20" s="31">
        <v>45170</v>
      </c>
      <c r="V20" s="25">
        <v>2331806</v>
      </c>
    </row>
    <row r="21" s="3" customFormat="1" ht="30" customHeight="1" spans="1:22">
      <c r="A21" s="16">
        <v>19</v>
      </c>
      <c r="B21" s="17" t="s">
        <v>23</v>
      </c>
      <c r="C21" s="17" t="s">
        <v>119</v>
      </c>
      <c r="D21" s="18">
        <v>9</v>
      </c>
      <c r="E21" s="17" t="s">
        <v>25</v>
      </c>
      <c r="F21" s="17" t="s">
        <v>116</v>
      </c>
      <c r="G21" s="22" t="s">
        <v>109</v>
      </c>
      <c r="H21" s="17" t="s">
        <v>117</v>
      </c>
      <c r="I21" s="25">
        <v>85322200</v>
      </c>
      <c r="J21" s="17" t="s">
        <v>76</v>
      </c>
      <c r="K21" s="17" t="s">
        <v>77</v>
      </c>
      <c r="L21" s="27" t="s">
        <v>111</v>
      </c>
      <c r="M21" s="17" t="s">
        <v>33</v>
      </c>
      <c r="N21" s="24">
        <v>13500</v>
      </c>
      <c r="O21" s="17">
        <v>0</v>
      </c>
      <c r="P21" s="25" t="s">
        <v>118</v>
      </c>
      <c r="Q21" s="17">
        <v>0</v>
      </c>
      <c r="R21" s="17">
        <v>5.67</v>
      </c>
      <c r="S21" s="17">
        <v>0.0708</v>
      </c>
      <c r="T21" s="17">
        <f t="shared" si="0"/>
        <v>955.8</v>
      </c>
      <c r="U21" s="31">
        <v>45187</v>
      </c>
      <c r="V21" s="25">
        <v>2331859</v>
      </c>
    </row>
    <row r="22" s="3" customFormat="1" ht="30" customHeight="1" spans="1:22">
      <c r="A22" s="16">
        <v>20</v>
      </c>
      <c r="B22" s="17" t="s">
        <v>23</v>
      </c>
      <c r="C22" s="17" t="s">
        <v>120</v>
      </c>
      <c r="D22" s="18">
        <v>2</v>
      </c>
      <c r="E22" s="17" t="s">
        <v>25</v>
      </c>
      <c r="F22" s="17" t="s">
        <v>121</v>
      </c>
      <c r="G22" s="22" t="s">
        <v>109</v>
      </c>
      <c r="H22" s="17" t="s">
        <v>122</v>
      </c>
      <c r="I22" s="25">
        <v>85322200</v>
      </c>
      <c r="J22" s="17" t="s">
        <v>76</v>
      </c>
      <c r="K22" s="17" t="s">
        <v>77</v>
      </c>
      <c r="L22" s="27" t="s">
        <v>111</v>
      </c>
      <c r="M22" s="17" t="s">
        <v>33</v>
      </c>
      <c r="N22" s="24">
        <v>7500</v>
      </c>
      <c r="O22" s="17">
        <v>3</v>
      </c>
      <c r="P22" s="25" t="s">
        <v>123</v>
      </c>
      <c r="Q22" s="17">
        <v>15.84</v>
      </c>
      <c r="R22" s="17">
        <v>6.68</v>
      </c>
      <c r="S22" s="17">
        <v>0.0963</v>
      </c>
      <c r="T22" s="17">
        <f t="shared" si="0"/>
        <v>722.25</v>
      </c>
      <c r="U22" s="31">
        <v>45170</v>
      </c>
      <c r="V22" s="25">
        <v>2331807</v>
      </c>
    </row>
    <row r="23" s="3" customFormat="1" ht="30" customHeight="1" spans="1:22">
      <c r="A23" s="16">
        <v>21</v>
      </c>
      <c r="B23" s="17" t="s">
        <v>23</v>
      </c>
      <c r="C23" s="17" t="s">
        <v>124</v>
      </c>
      <c r="D23" s="18">
        <v>1</v>
      </c>
      <c r="E23" s="17" t="s">
        <v>25</v>
      </c>
      <c r="F23" s="17" t="s">
        <v>125</v>
      </c>
      <c r="G23" s="21" t="s">
        <v>126</v>
      </c>
      <c r="H23" s="17" t="s">
        <v>127</v>
      </c>
      <c r="I23" s="25">
        <v>85051100</v>
      </c>
      <c r="J23" s="17" t="s">
        <v>128</v>
      </c>
      <c r="K23" s="17" t="s">
        <v>129</v>
      </c>
      <c r="L23" s="17" t="s">
        <v>32</v>
      </c>
      <c r="M23" s="17" t="s">
        <v>33</v>
      </c>
      <c r="N23" s="24">
        <v>4100</v>
      </c>
      <c r="O23" s="17">
        <v>2</v>
      </c>
      <c r="P23" s="25" t="s">
        <v>130</v>
      </c>
      <c r="Q23" s="17">
        <v>64.8</v>
      </c>
      <c r="R23" s="17">
        <v>62.8</v>
      </c>
      <c r="S23" s="17">
        <v>0.0398</v>
      </c>
      <c r="T23" s="17">
        <f t="shared" si="0"/>
        <v>163.18</v>
      </c>
      <c r="U23" s="31">
        <v>45163</v>
      </c>
      <c r="V23" s="25">
        <v>2331591</v>
      </c>
    </row>
    <row r="24" s="3" customFormat="1" ht="30" customHeight="1" spans="1:22">
      <c r="A24" s="16">
        <v>22</v>
      </c>
      <c r="B24" s="17" t="s">
        <v>23</v>
      </c>
      <c r="C24" s="17" t="s">
        <v>131</v>
      </c>
      <c r="D24" s="18">
        <v>1</v>
      </c>
      <c r="E24" s="17" t="s">
        <v>25</v>
      </c>
      <c r="F24" s="17" t="s">
        <v>132</v>
      </c>
      <c r="G24" s="22" t="s">
        <v>133</v>
      </c>
      <c r="H24" s="17" t="s">
        <v>134</v>
      </c>
      <c r="I24" s="25">
        <v>85411000</v>
      </c>
      <c r="J24" s="17" t="s">
        <v>135</v>
      </c>
      <c r="K24" s="17" t="s">
        <v>136</v>
      </c>
      <c r="L24" s="26" t="s">
        <v>96</v>
      </c>
      <c r="M24" s="17" t="s">
        <v>33</v>
      </c>
      <c r="N24" s="24">
        <v>8000</v>
      </c>
      <c r="O24" s="17">
        <v>1</v>
      </c>
      <c r="P24" s="25" t="s">
        <v>137</v>
      </c>
      <c r="Q24" s="17">
        <v>0.37</v>
      </c>
      <c r="R24" s="17">
        <v>0.08</v>
      </c>
      <c r="S24" s="33">
        <v>0.0163</v>
      </c>
      <c r="T24" s="17">
        <f t="shared" si="0"/>
        <v>130.4</v>
      </c>
      <c r="U24" s="31">
        <v>45174</v>
      </c>
      <c r="V24" s="25">
        <v>2331834</v>
      </c>
    </row>
    <row r="25" s="3" customFormat="1" ht="30" customHeight="1" spans="1:22">
      <c r="A25" s="16">
        <v>23</v>
      </c>
      <c r="B25" s="17" t="s">
        <v>23</v>
      </c>
      <c r="C25" s="17" t="s">
        <v>138</v>
      </c>
      <c r="D25" s="18">
        <v>4</v>
      </c>
      <c r="E25" s="17" t="s">
        <v>25</v>
      </c>
      <c r="F25" s="17" t="s">
        <v>139</v>
      </c>
      <c r="G25" s="19" t="s">
        <v>133</v>
      </c>
      <c r="H25" s="17" t="s">
        <v>140</v>
      </c>
      <c r="I25" s="25">
        <v>85411000</v>
      </c>
      <c r="J25" s="17" t="s">
        <v>135</v>
      </c>
      <c r="K25" s="17" t="s">
        <v>136</v>
      </c>
      <c r="L25" s="17" t="s">
        <v>32</v>
      </c>
      <c r="M25" s="17" t="s">
        <v>33</v>
      </c>
      <c r="N25" s="24">
        <v>6000</v>
      </c>
      <c r="O25" s="17">
        <v>1</v>
      </c>
      <c r="P25" s="25" t="s">
        <v>141</v>
      </c>
      <c r="Q25" s="17">
        <v>0.34</v>
      </c>
      <c r="R25" s="17">
        <v>0.06</v>
      </c>
      <c r="S25" s="17">
        <v>0.0117</v>
      </c>
      <c r="T25" s="17">
        <f t="shared" si="0"/>
        <v>70.2</v>
      </c>
      <c r="U25" s="31">
        <v>45170</v>
      </c>
      <c r="V25" s="25">
        <v>2331797</v>
      </c>
    </row>
    <row r="26" s="3" customFormat="1" ht="30" customHeight="1" spans="1:22">
      <c r="A26" s="16">
        <v>24</v>
      </c>
      <c r="B26" s="17" t="s">
        <v>23</v>
      </c>
      <c r="C26" s="17" t="s">
        <v>142</v>
      </c>
      <c r="D26" s="18">
        <v>1</v>
      </c>
      <c r="E26" s="17" t="s">
        <v>25</v>
      </c>
      <c r="F26" s="17" t="s">
        <v>143</v>
      </c>
      <c r="G26" s="22" t="s">
        <v>133</v>
      </c>
      <c r="H26" s="17" t="s">
        <v>144</v>
      </c>
      <c r="I26" s="25">
        <v>85411000</v>
      </c>
      <c r="J26" s="17" t="s">
        <v>135</v>
      </c>
      <c r="K26" s="17" t="s">
        <v>136</v>
      </c>
      <c r="L26" s="26" t="s">
        <v>96</v>
      </c>
      <c r="M26" s="17" t="s">
        <v>33</v>
      </c>
      <c r="N26" s="24">
        <v>3000</v>
      </c>
      <c r="O26" s="17">
        <v>1</v>
      </c>
      <c r="P26" s="25" t="s">
        <v>145</v>
      </c>
      <c r="Q26" s="17">
        <v>0.19</v>
      </c>
      <c r="R26" s="17">
        <v>0.03</v>
      </c>
      <c r="S26" s="33">
        <v>0.0117</v>
      </c>
      <c r="T26" s="17">
        <f t="shared" si="0"/>
        <v>35.1</v>
      </c>
      <c r="U26" s="31">
        <v>45170</v>
      </c>
      <c r="V26" s="25">
        <v>2331811</v>
      </c>
    </row>
    <row r="27" s="3" customFormat="1" ht="30" customHeight="1" spans="1:22">
      <c r="A27" s="16">
        <v>25</v>
      </c>
      <c r="B27" s="17" t="s">
        <v>23</v>
      </c>
      <c r="C27" s="17" t="s">
        <v>138</v>
      </c>
      <c r="D27" s="18">
        <v>6</v>
      </c>
      <c r="E27" s="17" t="s">
        <v>25</v>
      </c>
      <c r="F27" s="17" t="s">
        <v>143</v>
      </c>
      <c r="G27" s="19" t="s">
        <v>133</v>
      </c>
      <c r="H27" s="17" t="s">
        <v>144</v>
      </c>
      <c r="I27" s="25">
        <v>85411000</v>
      </c>
      <c r="J27" s="17" t="s">
        <v>135</v>
      </c>
      <c r="K27" s="17" t="s">
        <v>136</v>
      </c>
      <c r="L27" s="17" t="s">
        <v>32</v>
      </c>
      <c r="M27" s="17" t="s">
        <v>33</v>
      </c>
      <c r="N27" s="24">
        <v>12000</v>
      </c>
      <c r="O27" s="17">
        <v>1</v>
      </c>
      <c r="P27" s="25" t="s">
        <v>146</v>
      </c>
      <c r="Q27" s="17">
        <v>0.7</v>
      </c>
      <c r="R27" s="17">
        <v>0.12</v>
      </c>
      <c r="S27" s="17">
        <v>0.0117</v>
      </c>
      <c r="T27" s="17">
        <f t="shared" si="0"/>
        <v>140.4</v>
      </c>
      <c r="U27" s="31">
        <v>45170</v>
      </c>
      <c r="V27" s="25">
        <v>2331812</v>
      </c>
    </row>
    <row r="28" s="3" customFormat="1" ht="30" customHeight="1" spans="1:22">
      <c r="A28" s="16">
        <v>26</v>
      </c>
      <c r="B28" s="17" t="s">
        <v>23</v>
      </c>
      <c r="C28" s="17" t="s">
        <v>138</v>
      </c>
      <c r="D28" s="18">
        <v>8</v>
      </c>
      <c r="E28" s="17" t="s">
        <v>25</v>
      </c>
      <c r="F28" s="17" t="s">
        <v>147</v>
      </c>
      <c r="G28" s="19" t="s">
        <v>133</v>
      </c>
      <c r="H28" s="17" t="s">
        <v>148</v>
      </c>
      <c r="I28" s="25">
        <v>85411000</v>
      </c>
      <c r="J28" s="17" t="s">
        <v>135</v>
      </c>
      <c r="K28" s="17" t="s">
        <v>136</v>
      </c>
      <c r="L28" s="17" t="s">
        <v>32</v>
      </c>
      <c r="M28" s="17" t="s">
        <v>33</v>
      </c>
      <c r="N28" s="24">
        <v>21000</v>
      </c>
      <c r="O28" s="17">
        <v>1</v>
      </c>
      <c r="P28" s="25" t="s">
        <v>149</v>
      </c>
      <c r="Q28" s="17">
        <v>0.87</v>
      </c>
      <c r="R28" s="17">
        <v>0.21</v>
      </c>
      <c r="S28" s="17">
        <v>0.0117</v>
      </c>
      <c r="T28" s="17">
        <f t="shared" si="0"/>
        <v>245.7</v>
      </c>
      <c r="U28" s="31">
        <v>45170</v>
      </c>
      <c r="V28" s="25">
        <v>2331813</v>
      </c>
    </row>
    <row r="29" s="3" customFormat="1" ht="30" customHeight="1" spans="1:22">
      <c r="A29" s="16">
        <v>27</v>
      </c>
      <c r="B29" s="17" t="s">
        <v>23</v>
      </c>
      <c r="C29" s="17" t="s">
        <v>150</v>
      </c>
      <c r="D29" s="18">
        <v>6</v>
      </c>
      <c r="E29" s="17" t="s">
        <v>25</v>
      </c>
      <c r="F29" s="17" t="s">
        <v>151</v>
      </c>
      <c r="G29" s="22" t="s">
        <v>133</v>
      </c>
      <c r="H29" s="17" t="s">
        <v>152</v>
      </c>
      <c r="I29" s="25">
        <v>85411000</v>
      </c>
      <c r="J29" s="17" t="s">
        <v>135</v>
      </c>
      <c r="K29" s="17" t="s">
        <v>136</v>
      </c>
      <c r="L29" s="17" t="s">
        <v>153</v>
      </c>
      <c r="M29" s="17" t="s">
        <v>33</v>
      </c>
      <c r="N29" s="24">
        <v>32000</v>
      </c>
      <c r="O29" s="17">
        <v>1</v>
      </c>
      <c r="P29" s="25" t="s">
        <v>154</v>
      </c>
      <c r="Q29" s="17">
        <v>2.55</v>
      </c>
      <c r="R29" s="17">
        <v>0.38</v>
      </c>
      <c r="S29" s="33">
        <v>0.0204</v>
      </c>
      <c r="T29" s="17">
        <f t="shared" si="0"/>
        <v>652.8</v>
      </c>
      <c r="U29" s="31">
        <v>45142</v>
      </c>
      <c r="V29" s="25">
        <v>2331829</v>
      </c>
    </row>
    <row r="30" s="3" customFormat="1" ht="30" customHeight="1" spans="1:22">
      <c r="A30" s="16">
        <v>28</v>
      </c>
      <c r="B30" s="17" t="s">
        <v>23</v>
      </c>
      <c r="C30" s="17" t="s">
        <v>155</v>
      </c>
      <c r="D30" s="18">
        <v>2</v>
      </c>
      <c r="E30" s="17" t="s">
        <v>25</v>
      </c>
      <c r="F30" s="17" t="s">
        <v>151</v>
      </c>
      <c r="G30" s="22" t="s">
        <v>133</v>
      </c>
      <c r="H30" s="17" t="s">
        <v>152</v>
      </c>
      <c r="I30" s="25">
        <v>85411000</v>
      </c>
      <c r="J30" s="17" t="s">
        <v>135</v>
      </c>
      <c r="K30" s="17" t="s">
        <v>136</v>
      </c>
      <c r="L30" s="17" t="s">
        <v>153</v>
      </c>
      <c r="M30" s="17" t="s">
        <v>33</v>
      </c>
      <c r="N30" s="24">
        <v>40000</v>
      </c>
      <c r="O30" s="17">
        <v>0</v>
      </c>
      <c r="P30" s="25" t="s">
        <v>154</v>
      </c>
      <c r="Q30" s="17">
        <v>0</v>
      </c>
      <c r="R30" s="17">
        <v>0.48</v>
      </c>
      <c r="S30" s="33">
        <v>0.0204</v>
      </c>
      <c r="T30" s="17">
        <f t="shared" si="0"/>
        <v>816</v>
      </c>
      <c r="U30" s="31">
        <v>45204</v>
      </c>
      <c r="V30" s="25">
        <v>2331830</v>
      </c>
    </row>
    <row r="31" s="3" customFormat="1" ht="30" customHeight="1" spans="1:22">
      <c r="A31" s="16">
        <v>29</v>
      </c>
      <c r="B31" s="17" t="s">
        <v>23</v>
      </c>
      <c r="C31" s="17" t="s">
        <v>156</v>
      </c>
      <c r="D31" s="18">
        <v>3</v>
      </c>
      <c r="E31" s="17" t="s">
        <v>25</v>
      </c>
      <c r="F31" s="17" t="s">
        <v>151</v>
      </c>
      <c r="G31" s="22" t="s">
        <v>133</v>
      </c>
      <c r="H31" s="17" t="s">
        <v>152</v>
      </c>
      <c r="I31" s="25">
        <v>85411000</v>
      </c>
      <c r="J31" s="17" t="s">
        <v>135</v>
      </c>
      <c r="K31" s="17" t="s">
        <v>136</v>
      </c>
      <c r="L31" s="17" t="s">
        <v>153</v>
      </c>
      <c r="M31" s="17" t="s">
        <v>33</v>
      </c>
      <c r="N31" s="24">
        <v>24000</v>
      </c>
      <c r="O31" s="17">
        <v>0</v>
      </c>
      <c r="P31" s="25" t="s">
        <v>154</v>
      </c>
      <c r="Q31" s="17">
        <v>0</v>
      </c>
      <c r="R31" s="17">
        <v>0.3</v>
      </c>
      <c r="S31" s="33">
        <v>0.0204</v>
      </c>
      <c r="T31" s="17">
        <f t="shared" si="0"/>
        <v>489.6</v>
      </c>
      <c r="U31" s="31">
        <v>45233</v>
      </c>
      <c r="V31" s="25">
        <v>2331833</v>
      </c>
    </row>
    <row r="32" s="3" customFormat="1" ht="30" customHeight="1" spans="1:22">
      <c r="A32" s="16">
        <v>30</v>
      </c>
      <c r="B32" s="17" t="s">
        <v>23</v>
      </c>
      <c r="C32" s="17" t="s">
        <v>138</v>
      </c>
      <c r="D32" s="18">
        <v>9</v>
      </c>
      <c r="E32" s="17" t="s">
        <v>25</v>
      </c>
      <c r="F32" s="17" t="s">
        <v>151</v>
      </c>
      <c r="G32" s="22" t="s">
        <v>133</v>
      </c>
      <c r="H32" s="17" t="s">
        <v>152</v>
      </c>
      <c r="I32" s="25">
        <v>85411000</v>
      </c>
      <c r="J32" s="17" t="s">
        <v>135</v>
      </c>
      <c r="K32" s="17" t="s">
        <v>136</v>
      </c>
      <c r="L32" s="17" t="s">
        <v>153</v>
      </c>
      <c r="M32" s="17" t="s">
        <v>33</v>
      </c>
      <c r="N32" s="24">
        <v>16000</v>
      </c>
      <c r="O32" s="17">
        <v>0</v>
      </c>
      <c r="P32" s="25" t="s">
        <v>154</v>
      </c>
      <c r="Q32" s="17">
        <v>0</v>
      </c>
      <c r="R32" s="17">
        <v>0.19</v>
      </c>
      <c r="S32" s="17">
        <v>0.0204</v>
      </c>
      <c r="T32" s="17">
        <f t="shared" si="0"/>
        <v>326.4</v>
      </c>
      <c r="U32" s="31">
        <v>45204</v>
      </c>
      <c r="V32" s="25">
        <v>2331831</v>
      </c>
    </row>
    <row r="33" s="3" customFormat="1" ht="30" customHeight="1" spans="1:22">
      <c r="A33" s="16">
        <v>31</v>
      </c>
      <c r="B33" s="17" t="s">
        <v>23</v>
      </c>
      <c r="C33" s="17" t="s">
        <v>157</v>
      </c>
      <c r="D33" s="18">
        <v>7</v>
      </c>
      <c r="E33" s="17" t="s">
        <v>25</v>
      </c>
      <c r="F33" s="17" t="s">
        <v>151</v>
      </c>
      <c r="G33" s="22" t="s">
        <v>133</v>
      </c>
      <c r="H33" s="17" t="s">
        <v>152</v>
      </c>
      <c r="I33" s="25">
        <v>85411000</v>
      </c>
      <c r="J33" s="17" t="s">
        <v>135</v>
      </c>
      <c r="K33" s="17" t="s">
        <v>136</v>
      </c>
      <c r="L33" s="17" t="s">
        <v>153</v>
      </c>
      <c r="M33" s="17" t="s">
        <v>33</v>
      </c>
      <c r="N33" s="24">
        <v>16000</v>
      </c>
      <c r="O33" s="17">
        <v>0</v>
      </c>
      <c r="P33" s="25" t="s">
        <v>154</v>
      </c>
      <c r="Q33" s="17">
        <v>0</v>
      </c>
      <c r="R33" s="17">
        <v>0.19</v>
      </c>
      <c r="S33" s="17">
        <v>0.0204</v>
      </c>
      <c r="T33" s="17">
        <f t="shared" si="0"/>
        <v>326.4</v>
      </c>
      <c r="U33" s="31">
        <v>45204</v>
      </c>
      <c r="V33" s="25">
        <v>2331832</v>
      </c>
    </row>
    <row r="34" s="3" customFormat="1" ht="30" customHeight="1" spans="1:22">
      <c r="A34" s="16">
        <v>32</v>
      </c>
      <c r="B34" s="17" t="s">
        <v>23</v>
      </c>
      <c r="C34" s="17" t="s">
        <v>158</v>
      </c>
      <c r="D34" s="18">
        <v>1</v>
      </c>
      <c r="E34" s="17" t="s">
        <v>25</v>
      </c>
      <c r="F34" s="17" t="s">
        <v>159</v>
      </c>
      <c r="G34" s="22" t="s">
        <v>133</v>
      </c>
      <c r="H34" s="17" t="s">
        <v>160</v>
      </c>
      <c r="I34" s="25">
        <v>85411000</v>
      </c>
      <c r="J34" s="17" t="s">
        <v>135</v>
      </c>
      <c r="K34" s="17" t="s">
        <v>136</v>
      </c>
      <c r="L34" s="26" t="s">
        <v>96</v>
      </c>
      <c r="M34" s="17" t="s">
        <v>33</v>
      </c>
      <c r="N34" s="24">
        <v>3000</v>
      </c>
      <c r="O34" s="17">
        <v>1</v>
      </c>
      <c r="P34" s="25" t="s">
        <v>161</v>
      </c>
      <c r="Q34" s="17">
        <v>0.28</v>
      </c>
      <c r="R34" s="17">
        <v>0.03</v>
      </c>
      <c r="S34" s="33">
        <v>0.0232</v>
      </c>
      <c r="T34" s="17">
        <f t="shared" si="0"/>
        <v>69.6</v>
      </c>
      <c r="U34" s="31">
        <v>45170</v>
      </c>
      <c r="V34" s="25">
        <v>2331828</v>
      </c>
    </row>
    <row r="35" s="3" customFormat="1" ht="30" customHeight="1" spans="1:22">
      <c r="A35" s="16">
        <v>33</v>
      </c>
      <c r="B35" s="17" t="s">
        <v>23</v>
      </c>
      <c r="C35" s="17" t="s">
        <v>162</v>
      </c>
      <c r="D35" s="18">
        <v>3</v>
      </c>
      <c r="E35" s="17" t="s">
        <v>25</v>
      </c>
      <c r="F35" s="17" t="s">
        <v>163</v>
      </c>
      <c r="G35" s="22" t="s">
        <v>164</v>
      </c>
      <c r="H35" s="17" t="s">
        <v>165</v>
      </c>
      <c r="I35" s="25">
        <v>85412100</v>
      </c>
      <c r="J35" s="17" t="s">
        <v>166</v>
      </c>
      <c r="K35" s="17" t="s">
        <v>167</v>
      </c>
      <c r="L35" s="28" t="s">
        <v>168</v>
      </c>
      <c r="M35" s="17" t="s">
        <v>33</v>
      </c>
      <c r="N35" s="24">
        <v>3000</v>
      </c>
      <c r="O35" s="17">
        <v>1</v>
      </c>
      <c r="P35" s="25" t="s">
        <v>169</v>
      </c>
      <c r="Q35" s="17">
        <v>0.54</v>
      </c>
      <c r="R35" s="17">
        <v>0.02</v>
      </c>
      <c r="S35" s="17">
        <v>0.0361</v>
      </c>
      <c r="T35" s="17">
        <f t="shared" si="0"/>
        <v>108.3</v>
      </c>
      <c r="U35" s="31">
        <v>45174</v>
      </c>
      <c r="V35" s="25">
        <v>2331802</v>
      </c>
    </row>
    <row r="36" s="3" customFormat="1" ht="30" customHeight="1" spans="1:22">
      <c r="A36" s="16">
        <v>34</v>
      </c>
      <c r="B36" s="17" t="s">
        <v>23</v>
      </c>
      <c r="C36" s="17" t="s">
        <v>170</v>
      </c>
      <c r="D36" s="18">
        <v>6</v>
      </c>
      <c r="E36" s="17" t="s">
        <v>25</v>
      </c>
      <c r="F36" s="17" t="s">
        <v>163</v>
      </c>
      <c r="G36" s="22" t="s">
        <v>164</v>
      </c>
      <c r="H36" s="17" t="s">
        <v>165</v>
      </c>
      <c r="I36" s="25">
        <v>85412100</v>
      </c>
      <c r="J36" s="17" t="s">
        <v>166</v>
      </c>
      <c r="K36" s="17" t="s">
        <v>167</v>
      </c>
      <c r="L36" s="28" t="s">
        <v>168</v>
      </c>
      <c r="M36" s="17" t="s">
        <v>33</v>
      </c>
      <c r="N36" s="24">
        <v>6000</v>
      </c>
      <c r="O36" s="17">
        <v>0</v>
      </c>
      <c r="P36" s="25" t="s">
        <v>169</v>
      </c>
      <c r="Q36" s="17">
        <v>0</v>
      </c>
      <c r="R36" s="17">
        <v>0.04</v>
      </c>
      <c r="S36" s="17">
        <v>0.0361</v>
      </c>
      <c r="T36" s="17">
        <f t="shared" ref="T36:T67" si="1">N36*S36</f>
        <v>216.6</v>
      </c>
      <c r="U36" s="31">
        <v>45174</v>
      </c>
      <c r="V36" s="25">
        <v>2331803</v>
      </c>
    </row>
    <row r="37" s="3" customFormat="1" ht="30" customHeight="1" spans="1:22">
      <c r="A37" s="16">
        <v>35</v>
      </c>
      <c r="B37" s="17" t="s">
        <v>23</v>
      </c>
      <c r="C37" s="17" t="s">
        <v>156</v>
      </c>
      <c r="D37" s="18">
        <v>7</v>
      </c>
      <c r="E37" s="17" t="s">
        <v>25</v>
      </c>
      <c r="F37" s="17" t="s">
        <v>171</v>
      </c>
      <c r="G37" s="22" t="s">
        <v>164</v>
      </c>
      <c r="H37" s="17" t="s">
        <v>172</v>
      </c>
      <c r="I37" s="25">
        <v>85412100</v>
      </c>
      <c r="J37" s="17" t="s">
        <v>166</v>
      </c>
      <c r="K37" s="17" t="s">
        <v>167</v>
      </c>
      <c r="L37" s="26" t="s">
        <v>96</v>
      </c>
      <c r="M37" s="17" t="s">
        <v>33</v>
      </c>
      <c r="N37" s="24">
        <v>48000</v>
      </c>
      <c r="O37" s="17">
        <v>2</v>
      </c>
      <c r="P37" s="25" t="s">
        <v>173</v>
      </c>
      <c r="Q37" s="17">
        <v>2.71</v>
      </c>
      <c r="R37" s="17">
        <v>0.12</v>
      </c>
      <c r="S37" s="33">
        <v>0.0192</v>
      </c>
      <c r="T37" s="17">
        <f t="shared" si="1"/>
        <v>921.6</v>
      </c>
      <c r="U37" s="31">
        <v>45170</v>
      </c>
      <c r="V37" s="25">
        <v>2331836</v>
      </c>
    </row>
    <row r="38" s="3" customFormat="1" ht="30" customHeight="1" spans="1:22">
      <c r="A38" s="16">
        <v>36</v>
      </c>
      <c r="B38" s="17" t="s">
        <v>23</v>
      </c>
      <c r="C38" s="17" t="s">
        <v>174</v>
      </c>
      <c r="D38" s="18">
        <v>17</v>
      </c>
      <c r="E38" s="17" t="s">
        <v>25</v>
      </c>
      <c r="F38" s="17" t="s">
        <v>175</v>
      </c>
      <c r="G38" s="22" t="s">
        <v>164</v>
      </c>
      <c r="H38" s="17" t="s">
        <v>176</v>
      </c>
      <c r="I38" s="25">
        <v>85412100</v>
      </c>
      <c r="J38" s="17" t="s">
        <v>166</v>
      </c>
      <c r="K38" s="17" t="s">
        <v>167</v>
      </c>
      <c r="L38" s="26" t="s">
        <v>96</v>
      </c>
      <c r="M38" s="17" t="s">
        <v>33</v>
      </c>
      <c r="N38" s="24">
        <v>12000</v>
      </c>
      <c r="O38" s="17">
        <v>2</v>
      </c>
      <c r="P38" s="25" t="s">
        <v>177</v>
      </c>
      <c r="Q38" s="17">
        <v>1.1</v>
      </c>
      <c r="R38" s="17">
        <v>0.11</v>
      </c>
      <c r="S38" s="17">
        <v>0.019</v>
      </c>
      <c r="T38" s="17">
        <f t="shared" si="1"/>
        <v>228</v>
      </c>
      <c r="U38" s="31">
        <v>45174</v>
      </c>
      <c r="V38" s="25">
        <v>2331835</v>
      </c>
    </row>
    <row r="39" s="3" customFormat="1" ht="30" customHeight="1" spans="1:22">
      <c r="A39" s="16">
        <v>37</v>
      </c>
      <c r="B39" s="17" t="s">
        <v>23</v>
      </c>
      <c r="C39" s="17" t="s">
        <v>138</v>
      </c>
      <c r="D39" s="18">
        <v>18</v>
      </c>
      <c r="E39" s="17" t="s">
        <v>25</v>
      </c>
      <c r="F39" s="17" t="s">
        <v>178</v>
      </c>
      <c r="G39" s="22" t="s">
        <v>164</v>
      </c>
      <c r="H39" s="17" t="s">
        <v>179</v>
      </c>
      <c r="I39" s="25">
        <v>85412100</v>
      </c>
      <c r="J39" s="17" t="s">
        <v>166</v>
      </c>
      <c r="K39" s="17" t="s">
        <v>167</v>
      </c>
      <c r="L39" s="28" t="s">
        <v>168</v>
      </c>
      <c r="M39" s="17" t="s">
        <v>33</v>
      </c>
      <c r="N39" s="24">
        <v>9000</v>
      </c>
      <c r="O39" s="17">
        <v>1</v>
      </c>
      <c r="P39" s="25" t="s">
        <v>180</v>
      </c>
      <c r="Q39" s="17">
        <v>0.34</v>
      </c>
      <c r="R39" s="17">
        <v>0.27</v>
      </c>
      <c r="S39" s="17">
        <v>0.0113</v>
      </c>
      <c r="T39" s="17">
        <f t="shared" si="1"/>
        <v>101.7</v>
      </c>
      <c r="U39" s="31">
        <v>45170</v>
      </c>
      <c r="V39" s="25">
        <v>2331800</v>
      </c>
    </row>
    <row r="40" s="3" customFormat="1" ht="30" customHeight="1" spans="1:22">
      <c r="A40" s="16">
        <v>38</v>
      </c>
      <c r="B40" s="17" t="s">
        <v>23</v>
      </c>
      <c r="C40" s="17" t="s">
        <v>138</v>
      </c>
      <c r="D40" s="18">
        <v>19</v>
      </c>
      <c r="E40" s="17" t="s">
        <v>25</v>
      </c>
      <c r="F40" s="17" t="s">
        <v>181</v>
      </c>
      <c r="G40" s="22" t="s">
        <v>164</v>
      </c>
      <c r="H40" s="17" t="s">
        <v>182</v>
      </c>
      <c r="I40" s="25">
        <v>85412100</v>
      </c>
      <c r="J40" s="17" t="s">
        <v>166</v>
      </c>
      <c r="K40" s="17" t="s">
        <v>167</v>
      </c>
      <c r="L40" s="26" t="s">
        <v>96</v>
      </c>
      <c r="M40" s="17" t="s">
        <v>33</v>
      </c>
      <c r="N40" s="24">
        <v>21000</v>
      </c>
      <c r="O40" s="17">
        <v>2</v>
      </c>
      <c r="P40" s="25" t="s">
        <v>183</v>
      </c>
      <c r="Q40" s="17">
        <v>0.8</v>
      </c>
      <c r="R40" s="17">
        <v>0.21</v>
      </c>
      <c r="S40" s="17">
        <v>0.0179</v>
      </c>
      <c r="T40" s="17">
        <f t="shared" si="1"/>
        <v>375.9</v>
      </c>
      <c r="U40" s="31">
        <v>45170</v>
      </c>
      <c r="V40" s="25">
        <v>2331798</v>
      </c>
    </row>
    <row r="41" s="3" customFormat="1" ht="30" customHeight="1" spans="1:22">
      <c r="A41" s="16">
        <v>39</v>
      </c>
      <c r="B41" s="17" t="s">
        <v>23</v>
      </c>
      <c r="C41" s="17" t="s">
        <v>138</v>
      </c>
      <c r="D41" s="18">
        <v>21</v>
      </c>
      <c r="E41" s="17" t="s">
        <v>25</v>
      </c>
      <c r="F41" s="17" t="s">
        <v>184</v>
      </c>
      <c r="G41" s="22" t="s">
        <v>164</v>
      </c>
      <c r="H41" s="17" t="s">
        <v>185</v>
      </c>
      <c r="I41" s="25">
        <v>85412100</v>
      </c>
      <c r="J41" s="17" t="s">
        <v>166</v>
      </c>
      <c r="K41" s="17" t="s">
        <v>167</v>
      </c>
      <c r="L41" s="28" t="s">
        <v>168</v>
      </c>
      <c r="M41" s="17" t="s">
        <v>33</v>
      </c>
      <c r="N41" s="24">
        <v>96000</v>
      </c>
      <c r="O41" s="17">
        <v>1</v>
      </c>
      <c r="P41" s="25" t="s">
        <v>186</v>
      </c>
      <c r="Q41" s="17">
        <v>1.26</v>
      </c>
      <c r="R41" s="17">
        <v>0.96</v>
      </c>
      <c r="S41" s="17">
        <v>0.0204</v>
      </c>
      <c r="T41" s="17">
        <f t="shared" si="1"/>
        <v>1958.4</v>
      </c>
      <c r="U41" s="31">
        <v>45170</v>
      </c>
      <c r="V41" s="25">
        <v>2331801</v>
      </c>
    </row>
    <row r="42" s="3" customFormat="1" ht="30" customHeight="1" spans="1:22">
      <c r="A42" s="16">
        <v>40</v>
      </c>
      <c r="B42" s="17" t="s">
        <v>23</v>
      </c>
      <c r="C42" s="17" t="s">
        <v>156</v>
      </c>
      <c r="D42" s="18">
        <v>9</v>
      </c>
      <c r="E42" s="17" t="s">
        <v>25</v>
      </c>
      <c r="F42" s="17" t="s">
        <v>187</v>
      </c>
      <c r="G42" s="19" t="s">
        <v>164</v>
      </c>
      <c r="H42" s="17" t="s">
        <v>188</v>
      </c>
      <c r="I42" s="25">
        <v>85412100</v>
      </c>
      <c r="J42" s="17" t="s">
        <v>166</v>
      </c>
      <c r="K42" s="17" t="s">
        <v>167</v>
      </c>
      <c r="L42" s="17" t="s">
        <v>32</v>
      </c>
      <c r="M42" s="17" t="s">
        <v>33</v>
      </c>
      <c r="N42" s="24">
        <v>5000</v>
      </c>
      <c r="O42" s="17">
        <v>1</v>
      </c>
      <c r="P42" s="25" t="s">
        <v>189</v>
      </c>
      <c r="Q42" s="17">
        <v>2.4</v>
      </c>
      <c r="R42" s="17">
        <v>0.5</v>
      </c>
      <c r="S42" s="33">
        <v>0.2918</v>
      </c>
      <c r="T42" s="17">
        <f t="shared" si="1"/>
        <v>1459</v>
      </c>
      <c r="U42" s="31">
        <v>45233</v>
      </c>
      <c r="V42" s="25">
        <v>2331848</v>
      </c>
    </row>
    <row r="43" s="3" customFormat="1" ht="30" customHeight="1" spans="1:22">
      <c r="A43" s="16">
        <v>41</v>
      </c>
      <c r="B43" s="17" t="s">
        <v>23</v>
      </c>
      <c r="C43" s="17" t="s">
        <v>156</v>
      </c>
      <c r="D43" s="18">
        <v>10</v>
      </c>
      <c r="E43" s="17" t="s">
        <v>25</v>
      </c>
      <c r="F43" s="17" t="s">
        <v>190</v>
      </c>
      <c r="G43" s="22" t="s">
        <v>164</v>
      </c>
      <c r="H43" s="17" t="s">
        <v>191</v>
      </c>
      <c r="I43" s="25">
        <v>85412100</v>
      </c>
      <c r="J43" s="17" t="s">
        <v>166</v>
      </c>
      <c r="K43" s="17" t="s">
        <v>167</v>
      </c>
      <c r="L43" s="26" t="s">
        <v>96</v>
      </c>
      <c r="M43" s="17" t="s">
        <v>33</v>
      </c>
      <c r="N43" s="24">
        <v>3000</v>
      </c>
      <c r="O43" s="17">
        <v>1</v>
      </c>
      <c r="P43" s="25" t="s">
        <v>192</v>
      </c>
      <c r="Q43" s="17">
        <v>0.46</v>
      </c>
      <c r="R43" s="17">
        <v>0.02</v>
      </c>
      <c r="S43" s="33">
        <v>0.0859</v>
      </c>
      <c r="T43" s="17">
        <f t="shared" si="1"/>
        <v>257.7</v>
      </c>
      <c r="U43" s="31">
        <v>45265</v>
      </c>
      <c r="V43" s="25">
        <v>2331840</v>
      </c>
    </row>
    <row r="44" s="3" customFormat="1" ht="30" customHeight="1" spans="1:22">
      <c r="A44" s="16">
        <v>42</v>
      </c>
      <c r="B44" s="17" t="s">
        <v>23</v>
      </c>
      <c r="C44" s="17" t="s">
        <v>193</v>
      </c>
      <c r="D44" s="18">
        <v>2</v>
      </c>
      <c r="E44" s="17" t="s">
        <v>25</v>
      </c>
      <c r="F44" s="17" t="s">
        <v>194</v>
      </c>
      <c r="G44" s="22" t="s">
        <v>195</v>
      </c>
      <c r="H44" s="17" t="s">
        <v>196</v>
      </c>
      <c r="I44" s="25">
        <v>85423900</v>
      </c>
      <c r="J44" s="17" t="s">
        <v>197</v>
      </c>
      <c r="K44" s="17" t="s">
        <v>198</v>
      </c>
      <c r="L44" s="26" t="s">
        <v>96</v>
      </c>
      <c r="M44" s="17" t="s">
        <v>33</v>
      </c>
      <c r="N44" s="24">
        <v>3000</v>
      </c>
      <c r="O44" s="17">
        <v>1</v>
      </c>
      <c r="P44" s="25" t="s">
        <v>199</v>
      </c>
      <c r="Q44" s="17">
        <v>0.28</v>
      </c>
      <c r="R44" s="17">
        <v>0.03</v>
      </c>
      <c r="S44" s="17">
        <v>0.0441</v>
      </c>
      <c r="T44" s="17">
        <f t="shared" si="1"/>
        <v>132.3</v>
      </c>
      <c r="U44" s="31">
        <v>45174</v>
      </c>
      <c r="V44" s="25">
        <v>2331841</v>
      </c>
    </row>
    <row r="45" s="3" customFormat="1" ht="30" customHeight="1" spans="1:22">
      <c r="A45" s="16">
        <v>43</v>
      </c>
      <c r="B45" s="17" t="s">
        <v>23</v>
      </c>
      <c r="C45" s="17" t="s">
        <v>200</v>
      </c>
      <c r="D45" s="18">
        <v>6</v>
      </c>
      <c r="E45" s="17" t="s">
        <v>25</v>
      </c>
      <c r="F45" s="17" t="s">
        <v>201</v>
      </c>
      <c r="G45" s="22" t="s">
        <v>195</v>
      </c>
      <c r="H45" s="17" t="s">
        <v>202</v>
      </c>
      <c r="I45" s="25">
        <v>85423900</v>
      </c>
      <c r="J45" s="17" t="s">
        <v>197</v>
      </c>
      <c r="K45" s="17" t="s">
        <v>198</v>
      </c>
      <c r="L45" s="26" t="s">
        <v>96</v>
      </c>
      <c r="M45" s="17" t="s">
        <v>33</v>
      </c>
      <c r="N45" s="24">
        <v>12000</v>
      </c>
      <c r="O45" s="17">
        <v>1</v>
      </c>
      <c r="P45" s="25" t="s">
        <v>203</v>
      </c>
      <c r="Q45" s="17">
        <v>0.63</v>
      </c>
      <c r="R45" s="17">
        <v>0.07</v>
      </c>
      <c r="S45" s="33">
        <v>0.0421</v>
      </c>
      <c r="T45" s="17">
        <f t="shared" si="1"/>
        <v>505.2</v>
      </c>
      <c r="U45" s="31">
        <v>45174</v>
      </c>
      <c r="V45" s="25">
        <v>2331842</v>
      </c>
    </row>
    <row r="46" s="3" customFormat="1" ht="30" customHeight="1" spans="1:22">
      <c r="A46" s="16">
        <v>44</v>
      </c>
      <c r="B46" s="17" t="s">
        <v>23</v>
      </c>
      <c r="C46" s="17" t="s">
        <v>142</v>
      </c>
      <c r="D46" s="18">
        <v>12</v>
      </c>
      <c r="E46" s="17" t="s">
        <v>25</v>
      </c>
      <c r="F46" s="17" t="s">
        <v>201</v>
      </c>
      <c r="G46" s="22" t="s">
        <v>195</v>
      </c>
      <c r="H46" s="17" t="s">
        <v>202</v>
      </c>
      <c r="I46" s="25">
        <v>85423900</v>
      </c>
      <c r="J46" s="17" t="s">
        <v>197</v>
      </c>
      <c r="K46" s="17" t="s">
        <v>198</v>
      </c>
      <c r="L46" s="26" t="s">
        <v>96</v>
      </c>
      <c r="M46" s="17" t="s">
        <v>33</v>
      </c>
      <c r="N46" s="24">
        <v>3000</v>
      </c>
      <c r="O46" s="17">
        <v>0</v>
      </c>
      <c r="P46" s="25" t="s">
        <v>203</v>
      </c>
      <c r="Q46" s="17">
        <v>0</v>
      </c>
      <c r="R46" s="17">
        <v>0.02</v>
      </c>
      <c r="S46" s="33">
        <v>0.0421</v>
      </c>
      <c r="T46" s="17">
        <f t="shared" si="1"/>
        <v>126.3</v>
      </c>
      <c r="U46" s="31">
        <v>45174</v>
      </c>
      <c r="V46" s="25">
        <v>2331843</v>
      </c>
    </row>
    <row r="47" s="3" customFormat="1" ht="30" customHeight="1" spans="1:22">
      <c r="A47" s="16">
        <v>45</v>
      </c>
      <c r="B47" s="17" t="s">
        <v>23</v>
      </c>
      <c r="C47" s="17" t="s">
        <v>204</v>
      </c>
      <c r="D47" s="18">
        <v>4</v>
      </c>
      <c r="E47" s="17" t="s">
        <v>25</v>
      </c>
      <c r="F47" s="17" t="s">
        <v>205</v>
      </c>
      <c r="G47" s="22" t="s">
        <v>195</v>
      </c>
      <c r="H47" s="17" t="s">
        <v>206</v>
      </c>
      <c r="I47" s="25">
        <v>85423900</v>
      </c>
      <c r="J47" s="17" t="s">
        <v>197</v>
      </c>
      <c r="K47" s="17" t="s">
        <v>198</v>
      </c>
      <c r="L47" s="17" t="s">
        <v>153</v>
      </c>
      <c r="M47" s="17" t="s">
        <v>33</v>
      </c>
      <c r="N47" s="24">
        <v>3000</v>
      </c>
      <c r="O47" s="17">
        <v>1</v>
      </c>
      <c r="P47" s="25" t="s">
        <v>207</v>
      </c>
      <c r="Q47" s="17">
        <v>0.51</v>
      </c>
      <c r="R47" s="17">
        <v>0.06</v>
      </c>
      <c r="S47" s="17">
        <v>0.102</v>
      </c>
      <c r="T47" s="17">
        <f t="shared" si="1"/>
        <v>306</v>
      </c>
      <c r="U47" s="31">
        <v>45174</v>
      </c>
      <c r="V47" s="25">
        <v>2331845</v>
      </c>
    </row>
    <row r="48" s="3" customFormat="1" ht="30" customHeight="1" spans="1:22">
      <c r="A48" s="16">
        <v>46</v>
      </c>
      <c r="B48" s="17" t="s">
        <v>23</v>
      </c>
      <c r="C48" s="17" t="s">
        <v>138</v>
      </c>
      <c r="D48" s="18">
        <v>27</v>
      </c>
      <c r="E48" s="17" t="s">
        <v>25</v>
      </c>
      <c r="F48" s="17" t="s">
        <v>208</v>
      </c>
      <c r="G48" s="22" t="s">
        <v>195</v>
      </c>
      <c r="H48" s="17" t="s">
        <v>209</v>
      </c>
      <c r="I48" s="25">
        <v>85423900</v>
      </c>
      <c r="J48" s="17" t="s">
        <v>197</v>
      </c>
      <c r="K48" s="17" t="s">
        <v>198</v>
      </c>
      <c r="L48" s="26" t="s">
        <v>96</v>
      </c>
      <c r="M48" s="17" t="s">
        <v>33</v>
      </c>
      <c r="N48" s="24">
        <v>9000</v>
      </c>
      <c r="O48" s="17">
        <v>1</v>
      </c>
      <c r="P48" s="25" t="s">
        <v>210</v>
      </c>
      <c r="Q48" s="17">
        <v>0.89</v>
      </c>
      <c r="R48" s="17">
        <v>0.18</v>
      </c>
      <c r="S48" s="17">
        <v>0.1203</v>
      </c>
      <c r="T48" s="17">
        <f t="shared" si="1"/>
        <v>1082.7</v>
      </c>
      <c r="U48" s="31">
        <v>45174</v>
      </c>
      <c r="V48" s="25">
        <v>2331844</v>
      </c>
    </row>
    <row r="49" s="3" customFormat="1" ht="30" customHeight="1" spans="1:22">
      <c r="A49" s="16">
        <v>47</v>
      </c>
      <c r="B49" s="17" t="s">
        <v>23</v>
      </c>
      <c r="C49" s="17" t="s">
        <v>156</v>
      </c>
      <c r="D49" s="18">
        <v>12</v>
      </c>
      <c r="E49" s="17" t="s">
        <v>25</v>
      </c>
      <c r="F49" s="17" t="s">
        <v>211</v>
      </c>
      <c r="G49" s="22" t="s">
        <v>195</v>
      </c>
      <c r="H49" s="17" t="s">
        <v>212</v>
      </c>
      <c r="I49" s="25">
        <v>85423900</v>
      </c>
      <c r="J49" s="17" t="s">
        <v>197</v>
      </c>
      <c r="K49" s="17" t="s">
        <v>198</v>
      </c>
      <c r="L49" s="17" t="s">
        <v>153</v>
      </c>
      <c r="M49" s="17" t="s">
        <v>33</v>
      </c>
      <c r="N49" s="24">
        <v>7500</v>
      </c>
      <c r="O49" s="17">
        <v>1</v>
      </c>
      <c r="P49" s="25" t="s">
        <v>213</v>
      </c>
      <c r="Q49" s="17">
        <v>2.63</v>
      </c>
      <c r="R49" s="17">
        <v>0.45</v>
      </c>
      <c r="S49" s="33">
        <v>0.0674</v>
      </c>
      <c r="T49" s="17">
        <f t="shared" si="1"/>
        <v>505.5</v>
      </c>
      <c r="U49" s="31">
        <v>45265</v>
      </c>
      <c r="V49" s="25">
        <v>2331839</v>
      </c>
    </row>
    <row r="50" s="3" customFormat="1" ht="30" customHeight="1" spans="1:22">
      <c r="A50" s="16">
        <v>48</v>
      </c>
      <c r="B50" s="17" t="s">
        <v>23</v>
      </c>
      <c r="C50" s="17" t="s">
        <v>174</v>
      </c>
      <c r="D50" s="18">
        <v>27</v>
      </c>
      <c r="E50" s="17" t="s">
        <v>25</v>
      </c>
      <c r="F50" s="17" t="s">
        <v>214</v>
      </c>
      <c r="G50" s="22" t="s">
        <v>195</v>
      </c>
      <c r="H50" s="17" t="s">
        <v>215</v>
      </c>
      <c r="I50" s="25">
        <v>85423900</v>
      </c>
      <c r="J50" s="17" t="s">
        <v>197</v>
      </c>
      <c r="K50" s="17" t="s">
        <v>198</v>
      </c>
      <c r="L50" s="28" t="s">
        <v>168</v>
      </c>
      <c r="M50" s="17" t="s">
        <v>33</v>
      </c>
      <c r="N50" s="24">
        <v>2500</v>
      </c>
      <c r="O50" s="17">
        <v>1</v>
      </c>
      <c r="P50" s="25" t="s">
        <v>216</v>
      </c>
      <c r="Q50" s="17">
        <v>2.43</v>
      </c>
      <c r="R50" s="17">
        <v>0.75</v>
      </c>
      <c r="S50" s="17">
        <v>0.3287</v>
      </c>
      <c r="T50" s="17">
        <f t="shared" si="1"/>
        <v>821.75</v>
      </c>
      <c r="U50" s="31">
        <v>45174</v>
      </c>
      <c r="V50" s="25">
        <v>2331837</v>
      </c>
    </row>
    <row r="51" s="3" customFormat="1" ht="30" customHeight="1" spans="1:22">
      <c r="A51" s="16">
        <v>49</v>
      </c>
      <c r="B51" s="17" t="s">
        <v>23</v>
      </c>
      <c r="C51" s="17" t="s">
        <v>217</v>
      </c>
      <c r="D51" s="18">
        <v>2</v>
      </c>
      <c r="E51" s="17" t="s">
        <v>25</v>
      </c>
      <c r="F51" s="17" t="s">
        <v>214</v>
      </c>
      <c r="G51" s="22" t="s">
        <v>195</v>
      </c>
      <c r="H51" s="17" t="s">
        <v>215</v>
      </c>
      <c r="I51" s="25">
        <v>85423900</v>
      </c>
      <c r="J51" s="17" t="s">
        <v>197</v>
      </c>
      <c r="K51" s="17" t="s">
        <v>198</v>
      </c>
      <c r="L51" s="28" t="s">
        <v>168</v>
      </c>
      <c r="M51" s="17" t="s">
        <v>33</v>
      </c>
      <c r="N51" s="24">
        <v>2500</v>
      </c>
      <c r="O51" s="17">
        <v>0</v>
      </c>
      <c r="P51" s="25" t="s">
        <v>216</v>
      </c>
      <c r="Q51" s="17">
        <v>0</v>
      </c>
      <c r="R51" s="17">
        <v>0.75</v>
      </c>
      <c r="S51" s="17">
        <v>0.3287</v>
      </c>
      <c r="T51" s="17">
        <f t="shared" si="1"/>
        <v>821.75</v>
      </c>
      <c r="U51" s="31">
        <v>45174</v>
      </c>
      <c r="V51" s="25">
        <v>2331838</v>
      </c>
    </row>
    <row r="52" s="3" customFormat="1" ht="30" customHeight="1" spans="1:22">
      <c r="A52" s="16">
        <v>50</v>
      </c>
      <c r="B52" s="17" t="s">
        <v>23</v>
      </c>
      <c r="C52" s="17" t="s">
        <v>174</v>
      </c>
      <c r="D52" s="18">
        <v>28</v>
      </c>
      <c r="E52" s="17" t="s">
        <v>25</v>
      </c>
      <c r="F52" s="17" t="s">
        <v>218</v>
      </c>
      <c r="G52" s="22" t="s">
        <v>219</v>
      </c>
      <c r="H52" s="17" t="s">
        <v>220</v>
      </c>
      <c r="I52" s="25">
        <v>85423900</v>
      </c>
      <c r="J52" s="17" t="s">
        <v>197</v>
      </c>
      <c r="K52" s="17" t="s">
        <v>198</v>
      </c>
      <c r="L52" s="28" t="s">
        <v>168</v>
      </c>
      <c r="M52" s="17" t="s">
        <v>33</v>
      </c>
      <c r="N52" s="24">
        <v>5000</v>
      </c>
      <c r="O52" s="17">
        <v>2</v>
      </c>
      <c r="P52" s="25" t="s">
        <v>221</v>
      </c>
      <c r="Q52" s="17">
        <v>2.36</v>
      </c>
      <c r="R52" s="17">
        <v>1</v>
      </c>
      <c r="S52" s="17">
        <v>1.6336</v>
      </c>
      <c r="T52" s="17">
        <f t="shared" si="1"/>
        <v>8168</v>
      </c>
      <c r="U52" s="31">
        <v>45174</v>
      </c>
      <c r="V52" s="25">
        <v>2331799</v>
      </c>
    </row>
    <row r="53" s="3" customFormat="1" ht="30" customHeight="1" spans="1:22">
      <c r="A53" s="16">
        <v>51</v>
      </c>
      <c r="B53" s="17" t="s">
        <v>23</v>
      </c>
      <c r="C53" s="17" t="s">
        <v>222</v>
      </c>
      <c r="D53" s="18">
        <v>27</v>
      </c>
      <c r="E53" s="17" t="s">
        <v>25</v>
      </c>
      <c r="F53" s="17" t="s">
        <v>223</v>
      </c>
      <c r="G53" s="22" t="s">
        <v>195</v>
      </c>
      <c r="H53" s="17" t="s">
        <v>224</v>
      </c>
      <c r="I53" s="25">
        <v>85423900</v>
      </c>
      <c r="J53" s="17" t="s">
        <v>197</v>
      </c>
      <c r="K53" s="17" t="s">
        <v>198</v>
      </c>
      <c r="L53" s="26" t="s">
        <v>96</v>
      </c>
      <c r="M53" s="17" t="s">
        <v>33</v>
      </c>
      <c r="N53" s="24">
        <v>6000</v>
      </c>
      <c r="O53" s="17">
        <v>2</v>
      </c>
      <c r="P53" s="25" t="s">
        <v>225</v>
      </c>
      <c r="Q53" s="17">
        <v>4.33</v>
      </c>
      <c r="R53" s="17">
        <v>0.06</v>
      </c>
      <c r="S53" s="33">
        <v>0.5233</v>
      </c>
      <c r="T53" s="17">
        <f t="shared" si="1"/>
        <v>3139.8</v>
      </c>
      <c r="U53" s="31">
        <v>45179</v>
      </c>
      <c r="V53" s="25">
        <v>2331846</v>
      </c>
    </row>
    <row r="54" s="3" customFormat="1" ht="30" customHeight="1" spans="1:22">
      <c r="A54" s="16">
        <v>52</v>
      </c>
      <c r="B54" s="17" t="s">
        <v>23</v>
      </c>
      <c r="C54" s="17" t="s">
        <v>222</v>
      </c>
      <c r="D54" s="18">
        <v>28</v>
      </c>
      <c r="E54" s="17" t="s">
        <v>25</v>
      </c>
      <c r="F54" s="17" t="s">
        <v>223</v>
      </c>
      <c r="G54" s="22" t="s">
        <v>195</v>
      </c>
      <c r="H54" s="17" t="s">
        <v>224</v>
      </c>
      <c r="I54" s="25">
        <v>85423900</v>
      </c>
      <c r="J54" s="17" t="s">
        <v>197</v>
      </c>
      <c r="K54" s="17" t="s">
        <v>198</v>
      </c>
      <c r="L54" s="26" t="s">
        <v>96</v>
      </c>
      <c r="M54" s="17" t="s">
        <v>33</v>
      </c>
      <c r="N54" s="24">
        <v>6000</v>
      </c>
      <c r="O54" s="17">
        <v>0</v>
      </c>
      <c r="P54" s="25" t="s">
        <v>225</v>
      </c>
      <c r="Q54" s="17">
        <v>0</v>
      </c>
      <c r="R54" s="17">
        <v>0.06</v>
      </c>
      <c r="S54" s="33">
        <v>0.5233</v>
      </c>
      <c r="T54" s="17">
        <f t="shared" si="1"/>
        <v>3139.8</v>
      </c>
      <c r="U54" s="31">
        <v>45232</v>
      </c>
      <c r="V54" s="25">
        <v>2331847</v>
      </c>
    </row>
    <row r="55" s="3" customFormat="1" ht="30" customHeight="1" spans="1:22">
      <c r="A55" s="16">
        <v>53</v>
      </c>
      <c r="B55" s="17" t="s">
        <v>23</v>
      </c>
      <c r="C55" s="17" t="s">
        <v>226</v>
      </c>
      <c r="D55" s="18">
        <v>1</v>
      </c>
      <c r="E55" s="17" t="s">
        <v>25</v>
      </c>
      <c r="F55" s="17" t="s">
        <v>227</v>
      </c>
      <c r="G55" s="19" t="s">
        <v>228</v>
      </c>
      <c r="H55" s="17" t="s">
        <v>229</v>
      </c>
      <c r="I55" s="25">
        <v>85365033</v>
      </c>
      <c r="J55" s="17" t="s">
        <v>230</v>
      </c>
      <c r="K55" s="17" t="s">
        <v>231</v>
      </c>
      <c r="L55" s="17" t="s">
        <v>32</v>
      </c>
      <c r="M55" s="17" t="s">
        <v>33</v>
      </c>
      <c r="N55" s="24">
        <v>2000</v>
      </c>
      <c r="O55" s="17">
        <v>1</v>
      </c>
      <c r="P55" s="25" t="s">
        <v>232</v>
      </c>
      <c r="Q55" s="17">
        <v>0.56</v>
      </c>
      <c r="R55" s="17">
        <v>0.46</v>
      </c>
      <c r="S55" s="17">
        <v>0.0118</v>
      </c>
      <c r="T55" s="17">
        <f t="shared" si="1"/>
        <v>23.6</v>
      </c>
      <c r="U55" s="31">
        <v>45174</v>
      </c>
      <c r="V55" s="25">
        <v>2331538</v>
      </c>
    </row>
    <row r="56" s="3" customFormat="1" ht="30" customHeight="1" spans="1:22">
      <c r="A56" s="16">
        <v>54</v>
      </c>
      <c r="B56" s="17" t="s">
        <v>23</v>
      </c>
      <c r="C56" s="17" t="s">
        <v>233</v>
      </c>
      <c r="D56" s="18">
        <v>1</v>
      </c>
      <c r="E56" s="17" t="s">
        <v>25</v>
      </c>
      <c r="F56" s="17" t="s">
        <v>234</v>
      </c>
      <c r="G56" s="19" t="s">
        <v>228</v>
      </c>
      <c r="H56" s="17" t="s">
        <v>235</v>
      </c>
      <c r="I56" s="25">
        <v>85365033</v>
      </c>
      <c r="J56" s="17" t="s">
        <v>230</v>
      </c>
      <c r="K56" s="17" t="s">
        <v>231</v>
      </c>
      <c r="L56" s="17" t="s">
        <v>32</v>
      </c>
      <c r="M56" s="17" t="s">
        <v>33</v>
      </c>
      <c r="N56" s="24">
        <v>4000</v>
      </c>
      <c r="O56" s="17">
        <v>1</v>
      </c>
      <c r="P56" s="25" t="s">
        <v>236</v>
      </c>
      <c r="Q56" s="17">
        <v>1.2</v>
      </c>
      <c r="R56" s="17">
        <v>0.88</v>
      </c>
      <c r="S56" s="17">
        <v>0.0112</v>
      </c>
      <c r="T56" s="17">
        <f t="shared" si="1"/>
        <v>44.8</v>
      </c>
      <c r="U56" s="31">
        <v>45174</v>
      </c>
      <c r="V56" s="25">
        <v>2331557</v>
      </c>
    </row>
    <row r="57" s="3" customFormat="1" ht="30" customHeight="1" spans="1:22">
      <c r="A57" s="16">
        <v>55</v>
      </c>
      <c r="B57" s="17" t="s">
        <v>23</v>
      </c>
      <c r="C57" s="17" t="s">
        <v>237</v>
      </c>
      <c r="D57" s="18">
        <v>1</v>
      </c>
      <c r="E57" s="17" t="s">
        <v>25</v>
      </c>
      <c r="F57" s="17" t="s">
        <v>238</v>
      </c>
      <c r="G57" s="19" t="s">
        <v>239</v>
      </c>
      <c r="H57" s="17" t="s">
        <v>240</v>
      </c>
      <c r="I57" s="25">
        <v>85182920</v>
      </c>
      <c r="J57" s="17" t="s">
        <v>241</v>
      </c>
      <c r="K57" s="17" t="s">
        <v>242</v>
      </c>
      <c r="L57" s="17" t="s">
        <v>32</v>
      </c>
      <c r="M57" s="17" t="s">
        <v>33</v>
      </c>
      <c r="N57" s="24">
        <v>53800</v>
      </c>
      <c r="O57" s="17">
        <v>27</v>
      </c>
      <c r="P57" s="25" t="s">
        <v>243</v>
      </c>
      <c r="Q57" s="17">
        <v>634.2</v>
      </c>
      <c r="R57" s="17">
        <v>594.49</v>
      </c>
      <c r="S57" s="17">
        <v>0.0909</v>
      </c>
      <c r="T57" s="17">
        <f t="shared" si="1"/>
        <v>4890.42</v>
      </c>
      <c r="U57" s="31">
        <v>45194</v>
      </c>
      <c r="V57" s="25">
        <v>2332052</v>
      </c>
    </row>
    <row r="58" s="3" customFormat="1" ht="30" customHeight="1" spans="1:22">
      <c r="A58" s="16">
        <v>56</v>
      </c>
      <c r="B58" s="17" t="s">
        <v>23</v>
      </c>
      <c r="C58" s="17" t="s">
        <v>244</v>
      </c>
      <c r="D58" s="18">
        <v>1</v>
      </c>
      <c r="E58" s="17" t="s">
        <v>25</v>
      </c>
      <c r="F58" s="17" t="s">
        <v>245</v>
      </c>
      <c r="G58" s="19" t="s">
        <v>246</v>
      </c>
      <c r="H58" s="17" t="s">
        <v>247</v>
      </c>
      <c r="I58" s="25">
        <v>85444919</v>
      </c>
      <c r="J58" s="17" t="s">
        <v>39</v>
      </c>
      <c r="K58" s="17" t="s">
        <v>40</v>
      </c>
      <c r="L58" s="17" t="s">
        <v>32</v>
      </c>
      <c r="M58" s="17" t="s">
        <v>248</v>
      </c>
      <c r="N58" s="24">
        <v>5000</v>
      </c>
      <c r="O58" s="17">
        <v>5</v>
      </c>
      <c r="P58" s="25" t="s">
        <v>249</v>
      </c>
      <c r="Q58" s="17">
        <v>33.85</v>
      </c>
      <c r="R58" s="17">
        <v>29.5</v>
      </c>
      <c r="S58" s="17">
        <v>0.1014</v>
      </c>
      <c r="T58" s="17">
        <f t="shared" si="1"/>
        <v>507</v>
      </c>
      <c r="U58" s="31">
        <v>45182</v>
      </c>
      <c r="V58" s="25">
        <v>2331479</v>
      </c>
    </row>
    <row r="59" s="3" customFormat="1" ht="30" customHeight="1" spans="1:22">
      <c r="A59" s="16">
        <v>57</v>
      </c>
      <c r="B59" s="17" t="s">
        <v>23</v>
      </c>
      <c r="C59" s="17" t="s">
        <v>250</v>
      </c>
      <c r="D59" s="18">
        <v>1</v>
      </c>
      <c r="E59" s="17" t="s">
        <v>25</v>
      </c>
      <c r="F59" s="17" t="s">
        <v>251</v>
      </c>
      <c r="G59" s="19" t="s">
        <v>246</v>
      </c>
      <c r="H59" s="17" t="s">
        <v>252</v>
      </c>
      <c r="I59" s="25">
        <v>85444919</v>
      </c>
      <c r="J59" s="17" t="s">
        <v>39</v>
      </c>
      <c r="K59" s="17" t="s">
        <v>40</v>
      </c>
      <c r="L59" s="17" t="s">
        <v>32</v>
      </c>
      <c r="M59" s="17" t="s">
        <v>33</v>
      </c>
      <c r="N59" s="24">
        <v>67000</v>
      </c>
      <c r="O59" s="17">
        <v>1</v>
      </c>
      <c r="P59" s="25" t="s">
        <v>253</v>
      </c>
      <c r="Q59" s="17">
        <v>18.93</v>
      </c>
      <c r="R59" s="17">
        <v>2.21</v>
      </c>
      <c r="S59" s="17">
        <v>0.0019</v>
      </c>
      <c r="T59" s="17">
        <f t="shared" si="1"/>
        <v>127.3</v>
      </c>
      <c r="U59" s="31">
        <v>45177</v>
      </c>
      <c r="V59" s="25">
        <v>2331458</v>
      </c>
    </row>
    <row r="60" s="3" customFormat="1" ht="30" customHeight="1" spans="1:22">
      <c r="A60" s="16">
        <v>58</v>
      </c>
      <c r="B60" s="17" t="s">
        <v>23</v>
      </c>
      <c r="C60" s="17" t="s">
        <v>250</v>
      </c>
      <c r="D60" s="18">
        <v>2</v>
      </c>
      <c r="E60" s="17" t="s">
        <v>25</v>
      </c>
      <c r="F60" s="17" t="s">
        <v>254</v>
      </c>
      <c r="G60" s="19" t="s">
        <v>246</v>
      </c>
      <c r="H60" s="17" t="s">
        <v>255</v>
      </c>
      <c r="I60" s="25">
        <v>85444919</v>
      </c>
      <c r="J60" s="17" t="s">
        <v>39</v>
      </c>
      <c r="K60" s="17" t="s">
        <v>40</v>
      </c>
      <c r="L60" s="17" t="s">
        <v>32</v>
      </c>
      <c r="M60" s="17" t="s">
        <v>33</v>
      </c>
      <c r="N60" s="24">
        <v>67000</v>
      </c>
      <c r="O60" s="17">
        <v>1</v>
      </c>
      <c r="P60" s="25" t="s">
        <v>256</v>
      </c>
      <c r="Q60" s="17">
        <v>21</v>
      </c>
      <c r="R60" s="17">
        <v>6.43</v>
      </c>
      <c r="S60" s="17">
        <v>0.0029</v>
      </c>
      <c r="T60" s="17">
        <f t="shared" si="1"/>
        <v>194.3</v>
      </c>
      <c r="U60" s="31">
        <v>45177</v>
      </c>
      <c r="V60" s="25">
        <v>2331459</v>
      </c>
    </row>
    <row r="61" s="3" customFormat="1" ht="30" customHeight="1" spans="1:22">
      <c r="A61" s="16">
        <v>59</v>
      </c>
      <c r="B61" s="17" t="s">
        <v>23</v>
      </c>
      <c r="C61" s="17" t="s">
        <v>250</v>
      </c>
      <c r="D61" s="18">
        <v>3</v>
      </c>
      <c r="E61" s="17" t="s">
        <v>25</v>
      </c>
      <c r="F61" s="17" t="s">
        <v>257</v>
      </c>
      <c r="G61" s="19" t="s">
        <v>246</v>
      </c>
      <c r="H61" s="17" t="s">
        <v>258</v>
      </c>
      <c r="I61" s="25">
        <v>85444919</v>
      </c>
      <c r="J61" s="17" t="s">
        <v>39</v>
      </c>
      <c r="K61" s="17" t="s">
        <v>40</v>
      </c>
      <c r="L61" s="17" t="s">
        <v>32</v>
      </c>
      <c r="M61" s="17" t="s">
        <v>33</v>
      </c>
      <c r="N61" s="24">
        <v>67000</v>
      </c>
      <c r="O61" s="17">
        <v>1</v>
      </c>
      <c r="P61" s="25" t="s">
        <v>259</v>
      </c>
      <c r="Q61" s="17">
        <v>15.55</v>
      </c>
      <c r="R61" s="17">
        <v>6.43</v>
      </c>
      <c r="S61" s="17">
        <v>0.0029</v>
      </c>
      <c r="T61" s="17">
        <f t="shared" si="1"/>
        <v>194.3</v>
      </c>
      <c r="U61" s="31">
        <v>45177</v>
      </c>
      <c r="V61" s="25">
        <v>2331460</v>
      </c>
    </row>
    <row r="62" s="3" customFormat="1" ht="30" customHeight="1" spans="1:22">
      <c r="A62" s="16">
        <v>60</v>
      </c>
      <c r="B62" s="17" t="s">
        <v>23</v>
      </c>
      <c r="C62" s="17" t="s">
        <v>250</v>
      </c>
      <c r="D62" s="18">
        <v>4</v>
      </c>
      <c r="E62" s="17" t="s">
        <v>25</v>
      </c>
      <c r="F62" s="17" t="s">
        <v>260</v>
      </c>
      <c r="G62" s="19" t="s">
        <v>246</v>
      </c>
      <c r="H62" s="17" t="s">
        <v>261</v>
      </c>
      <c r="I62" s="25">
        <v>85444919</v>
      </c>
      <c r="J62" s="17" t="s">
        <v>39</v>
      </c>
      <c r="K62" s="17" t="s">
        <v>40</v>
      </c>
      <c r="L62" s="17" t="s">
        <v>32</v>
      </c>
      <c r="M62" s="17" t="s">
        <v>33</v>
      </c>
      <c r="N62" s="24">
        <v>9000</v>
      </c>
      <c r="O62" s="17">
        <v>1</v>
      </c>
      <c r="P62" s="25" t="s">
        <v>262</v>
      </c>
      <c r="Q62" s="17">
        <v>3.59</v>
      </c>
      <c r="R62" s="17">
        <v>1.4</v>
      </c>
      <c r="S62" s="17">
        <v>0.0032</v>
      </c>
      <c r="T62" s="17">
        <f t="shared" si="1"/>
        <v>28.8</v>
      </c>
      <c r="U62" s="31">
        <v>45177</v>
      </c>
      <c r="V62" s="25">
        <v>2331461</v>
      </c>
    </row>
    <row r="63" s="3" customFormat="1" ht="30" customHeight="1" spans="1:22">
      <c r="A63" s="16">
        <v>61</v>
      </c>
      <c r="B63" s="17" t="s">
        <v>23</v>
      </c>
      <c r="C63" s="17" t="s">
        <v>250</v>
      </c>
      <c r="D63" s="18">
        <v>5</v>
      </c>
      <c r="E63" s="17" t="s">
        <v>25</v>
      </c>
      <c r="F63" s="17" t="s">
        <v>263</v>
      </c>
      <c r="G63" s="19" t="s">
        <v>246</v>
      </c>
      <c r="H63" s="17" t="s">
        <v>264</v>
      </c>
      <c r="I63" s="25">
        <v>85444919</v>
      </c>
      <c r="J63" s="17" t="s">
        <v>39</v>
      </c>
      <c r="K63" s="17" t="s">
        <v>40</v>
      </c>
      <c r="L63" s="17" t="s">
        <v>32</v>
      </c>
      <c r="M63" s="17" t="s">
        <v>33</v>
      </c>
      <c r="N63" s="24">
        <v>67000</v>
      </c>
      <c r="O63" s="17">
        <v>0</v>
      </c>
      <c r="P63" s="25" t="s">
        <v>259</v>
      </c>
      <c r="Q63" s="17">
        <v>0</v>
      </c>
      <c r="R63" s="17">
        <v>7.64</v>
      </c>
      <c r="S63" s="17">
        <v>0.0031</v>
      </c>
      <c r="T63" s="17">
        <f t="shared" si="1"/>
        <v>207.7</v>
      </c>
      <c r="U63" s="31">
        <v>45177</v>
      </c>
      <c r="V63" s="25">
        <v>2331462</v>
      </c>
    </row>
    <row r="64" s="3" customFormat="1" ht="30" customHeight="1" spans="1:22">
      <c r="A64" s="16">
        <v>62</v>
      </c>
      <c r="B64" s="17" t="s">
        <v>23</v>
      </c>
      <c r="C64" s="17" t="s">
        <v>250</v>
      </c>
      <c r="D64" s="18">
        <v>6</v>
      </c>
      <c r="E64" s="17" t="s">
        <v>25</v>
      </c>
      <c r="F64" s="17" t="s">
        <v>265</v>
      </c>
      <c r="G64" s="19" t="s">
        <v>246</v>
      </c>
      <c r="H64" s="17" t="s">
        <v>266</v>
      </c>
      <c r="I64" s="25">
        <v>85444919</v>
      </c>
      <c r="J64" s="17" t="s">
        <v>39</v>
      </c>
      <c r="K64" s="17" t="s">
        <v>40</v>
      </c>
      <c r="L64" s="17" t="s">
        <v>32</v>
      </c>
      <c r="M64" s="17" t="s">
        <v>33</v>
      </c>
      <c r="N64" s="24">
        <v>9000</v>
      </c>
      <c r="O64" s="17">
        <v>0</v>
      </c>
      <c r="P64" s="25" t="s">
        <v>262</v>
      </c>
      <c r="Q64" s="17">
        <v>0</v>
      </c>
      <c r="R64" s="17">
        <v>1.83</v>
      </c>
      <c r="S64" s="17">
        <v>0.004</v>
      </c>
      <c r="T64" s="17">
        <f t="shared" si="1"/>
        <v>36</v>
      </c>
      <c r="U64" s="31">
        <v>45177</v>
      </c>
      <c r="V64" s="25">
        <v>2331463</v>
      </c>
    </row>
    <row r="65" s="3" customFormat="1" ht="30" customHeight="1" spans="1:22">
      <c r="A65" s="16">
        <v>63</v>
      </c>
      <c r="B65" s="17" t="s">
        <v>23</v>
      </c>
      <c r="C65" s="17" t="s">
        <v>250</v>
      </c>
      <c r="D65" s="18">
        <v>7</v>
      </c>
      <c r="E65" s="17" t="s">
        <v>25</v>
      </c>
      <c r="F65" s="17" t="s">
        <v>267</v>
      </c>
      <c r="G65" s="19" t="s">
        <v>246</v>
      </c>
      <c r="H65" s="17" t="s">
        <v>268</v>
      </c>
      <c r="I65" s="25">
        <v>85444919</v>
      </c>
      <c r="J65" s="17" t="s">
        <v>39</v>
      </c>
      <c r="K65" s="17" t="s">
        <v>40</v>
      </c>
      <c r="L65" s="17" t="s">
        <v>32</v>
      </c>
      <c r="M65" s="17" t="s">
        <v>33</v>
      </c>
      <c r="N65" s="24">
        <v>54000</v>
      </c>
      <c r="O65" s="17">
        <v>1</v>
      </c>
      <c r="P65" s="25" t="s">
        <v>269</v>
      </c>
      <c r="Q65" s="17">
        <v>15.96</v>
      </c>
      <c r="R65" s="17">
        <v>3.67</v>
      </c>
      <c r="S65" s="17">
        <v>0.0022</v>
      </c>
      <c r="T65" s="17">
        <f t="shared" si="1"/>
        <v>118.8</v>
      </c>
      <c r="U65" s="31">
        <v>45194</v>
      </c>
      <c r="V65" s="25">
        <v>2331464</v>
      </c>
    </row>
    <row r="66" s="3" customFormat="1" ht="30" customHeight="1" spans="1:22">
      <c r="A66" s="16">
        <v>64</v>
      </c>
      <c r="B66" s="17" t="s">
        <v>23</v>
      </c>
      <c r="C66" s="17" t="s">
        <v>250</v>
      </c>
      <c r="D66" s="18">
        <v>8</v>
      </c>
      <c r="E66" s="17" t="s">
        <v>25</v>
      </c>
      <c r="F66" s="17" t="s">
        <v>270</v>
      </c>
      <c r="G66" s="19" t="s">
        <v>246</v>
      </c>
      <c r="H66" s="17" t="s">
        <v>271</v>
      </c>
      <c r="I66" s="25">
        <v>85444919</v>
      </c>
      <c r="J66" s="17" t="s">
        <v>39</v>
      </c>
      <c r="K66" s="17" t="s">
        <v>40</v>
      </c>
      <c r="L66" s="17" t="s">
        <v>32</v>
      </c>
      <c r="M66" s="17" t="s">
        <v>33</v>
      </c>
      <c r="N66" s="24">
        <v>41000</v>
      </c>
      <c r="O66" s="17">
        <v>1</v>
      </c>
      <c r="P66" s="25" t="s">
        <v>272</v>
      </c>
      <c r="Q66" s="17">
        <v>15.21</v>
      </c>
      <c r="R66" s="17">
        <v>2.79</v>
      </c>
      <c r="S66" s="17">
        <v>0.0022</v>
      </c>
      <c r="T66" s="17">
        <f t="shared" si="1"/>
        <v>90.2</v>
      </c>
      <c r="U66" s="31">
        <v>45194</v>
      </c>
      <c r="V66" s="25">
        <v>2331465</v>
      </c>
    </row>
    <row r="67" s="3" customFormat="1" ht="30" customHeight="1" spans="1:22">
      <c r="A67" s="16">
        <v>65</v>
      </c>
      <c r="B67" s="17" t="s">
        <v>23</v>
      </c>
      <c r="C67" s="17" t="s">
        <v>250</v>
      </c>
      <c r="D67" s="18">
        <v>9</v>
      </c>
      <c r="E67" s="17" t="s">
        <v>25</v>
      </c>
      <c r="F67" s="17" t="s">
        <v>273</v>
      </c>
      <c r="G67" s="19" t="s">
        <v>246</v>
      </c>
      <c r="H67" s="17" t="s">
        <v>274</v>
      </c>
      <c r="I67" s="25">
        <v>85444919</v>
      </c>
      <c r="J67" s="17" t="s">
        <v>39</v>
      </c>
      <c r="K67" s="17" t="s">
        <v>40</v>
      </c>
      <c r="L67" s="17" t="s">
        <v>32</v>
      </c>
      <c r="M67" s="17" t="s">
        <v>33</v>
      </c>
      <c r="N67" s="24">
        <v>28000</v>
      </c>
      <c r="O67" s="17">
        <v>0</v>
      </c>
      <c r="P67" s="25" t="s">
        <v>269</v>
      </c>
      <c r="Q67" s="17">
        <v>0</v>
      </c>
      <c r="R67" s="17">
        <v>1.4</v>
      </c>
      <c r="S67" s="17">
        <v>0.0023</v>
      </c>
      <c r="T67" s="17">
        <f t="shared" si="1"/>
        <v>64.4</v>
      </c>
      <c r="U67" s="31">
        <v>45194</v>
      </c>
      <c r="V67" s="25">
        <v>2331466</v>
      </c>
    </row>
    <row r="68" s="3" customFormat="1" ht="30" customHeight="1" spans="1:22">
      <c r="A68" s="16">
        <v>66</v>
      </c>
      <c r="B68" s="17" t="s">
        <v>23</v>
      </c>
      <c r="C68" s="17" t="s">
        <v>250</v>
      </c>
      <c r="D68" s="18">
        <v>10</v>
      </c>
      <c r="E68" s="17" t="s">
        <v>25</v>
      </c>
      <c r="F68" s="17" t="s">
        <v>275</v>
      </c>
      <c r="G68" s="19" t="s">
        <v>246</v>
      </c>
      <c r="H68" s="17" t="s">
        <v>276</v>
      </c>
      <c r="I68" s="25">
        <v>85444919</v>
      </c>
      <c r="J68" s="17" t="s">
        <v>39</v>
      </c>
      <c r="K68" s="17" t="s">
        <v>40</v>
      </c>
      <c r="L68" s="17" t="s">
        <v>32</v>
      </c>
      <c r="M68" s="17" t="s">
        <v>33</v>
      </c>
      <c r="N68" s="24">
        <v>68000</v>
      </c>
      <c r="O68" s="17">
        <v>0</v>
      </c>
      <c r="P68" s="25" t="s">
        <v>256</v>
      </c>
      <c r="Q68" s="17">
        <v>0</v>
      </c>
      <c r="R68" s="17">
        <v>13.6</v>
      </c>
      <c r="S68" s="17">
        <v>0.0037</v>
      </c>
      <c r="T68" s="17">
        <f t="shared" ref="T68:T99" si="2">N68*S68</f>
        <v>251.6</v>
      </c>
      <c r="U68" s="31">
        <v>45177</v>
      </c>
      <c r="V68" s="25">
        <v>2331467</v>
      </c>
    </row>
    <row r="69" s="3" customFormat="1" ht="30" customHeight="1" spans="1:22">
      <c r="A69" s="16">
        <v>67</v>
      </c>
      <c r="B69" s="17" t="s">
        <v>23</v>
      </c>
      <c r="C69" s="17" t="s">
        <v>250</v>
      </c>
      <c r="D69" s="18">
        <v>11</v>
      </c>
      <c r="E69" s="17" t="s">
        <v>25</v>
      </c>
      <c r="F69" s="17" t="s">
        <v>277</v>
      </c>
      <c r="G69" s="19" t="s">
        <v>246</v>
      </c>
      <c r="H69" s="17" t="s">
        <v>278</v>
      </c>
      <c r="I69" s="25">
        <v>85444919</v>
      </c>
      <c r="J69" s="17" t="s">
        <v>39</v>
      </c>
      <c r="K69" s="17" t="s">
        <v>40</v>
      </c>
      <c r="L69" s="17" t="s">
        <v>32</v>
      </c>
      <c r="M69" s="17" t="s">
        <v>33</v>
      </c>
      <c r="N69" s="24">
        <v>41000</v>
      </c>
      <c r="O69" s="17">
        <v>0</v>
      </c>
      <c r="P69" s="25" t="s">
        <v>253</v>
      </c>
      <c r="Q69" s="17">
        <v>0</v>
      </c>
      <c r="R69" s="17">
        <v>3.16</v>
      </c>
      <c r="S69" s="17">
        <v>0.0023</v>
      </c>
      <c r="T69" s="17">
        <f t="shared" si="2"/>
        <v>94.3</v>
      </c>
      <c r="U69" s="31">
        <v>45194</v>
      </c>
      <c r="V69" s="25">
        <v>2331468</v>
      </c>
    </row>
    <row r="70" s="3" customFormat="1" ht="30" customHeight="1" spans="1:22">
      <c r="A70" s="16">
        <v>68</v>
      </c>
      <c r="B70" s="17" t="s">
        <v>23</v>
      </c>
      <c r="C70" s="17" t="s">
        <v>250</v>
      </c>
      <c r="D70" s="18">
        <v>12</v>
      </c>
      <c r="E70" s="17" t="s">
        <v>25</v>
      </c>
      <c r="F70" s="17" t="s">
        <v>279</v>
      </c>
      <c r="G70" s="19" t="s">
        <v>246</v>
      </c>
      <c r="H70" s="17" t="s">
        <v>280</v>
      </c>
      <c r="I70" s="25">
        <v>85444919</v>
      </c>
      <c r="J70" s="17" t="s">
        <v>39</v>
      </c>
      <c r="K70" s="17" t="s">
        <v>40</v>
      </c>
      <c r="L70" s="17" t="s">
        <v>32</v>
      </c>
      <c r="M70" s="17" t="s">
        <v>33</v>
      </c>
      <c r="N70" s="24">
        <v>20000</v>
      </c>
      <c r="O70" s="17">
        <v>0</v>
      </c>
      <c r="P70" s="25" t="s">
        <v>269</v>
      </c>
      <c r="Q70" s="17">
        <v>0</v>
      </c>
      <c r="R70" s="17">
        <v>1.54</v>
      </c>
      <c r="S70" s="17">
        <v>0.0023</v>
      </c>
      <c r="T70" s="17">
        <f t="shared" si="2"/>
        <v>46</v>
      </c>
      <c r="U70" s="31">
        <v>45177</v>
      </c>
      <c r="V70" s="25">
        <v>2331469</v>
      </c>
    </row>
    <row r="71" s="3" customFormat="1" ht="30" customHeight="1" spans="1:22">
      <c r="A71" s="16">
        <v>69</v>
      </c>
      <c r="B71" s="17" t="s">
        <v>23</v>
      </c>
      <c r="C71" s="17" t="s">
        <v>250</v>
      </c>
      <c r="D71" s="18">
        <v>13</v>
      </c>
      <c r="E71" s="17" t="s">
        <v>25</v>
      </c>
      <c r="F71" s="17" t="s">
        <v>281</v>
      </c>
      <c r="G71" s="19" t="s">
        <v>246</v>
      </c>
      <c r="H71" s="17" t="s">
        <v>282</v>
      </c>
      <c r="I71" s="25">
        <v>85444919</v>
      </c>
      <c r="J71" s="17" t="s">
        <v>39</v>
      </c>
      <c r="K71" s="17" t="s">
        <v>40</v>
      </c>
      <c r="L71" s="17" t="s">
        <v>32</v>
      </c>
      <c r="M71" s="17" t="s">
        <v>33</v>
      </c>
      <c r="N71" s="24">
        <v>28000</v>
      </c>
      <c r="O71" s="17">
        <v>0</v>
      </c>
      <c r="P71" s="25" t="s">
        <v>253</v>
      </c>
      <c r="Q71" s="17">
        <v>0</v>
      </c>
      <c r="R71" s="17">
        <v>2.49</v>
      </c>
      <c r="S71" s="17">
        <v>0.0026</v>
      </c>
      <c r="T71" s="17">
        <f t="shared" si="2"/>
        <v>72.8</v>
      </c>
      <c r="U71" s="31">
        <v>45194</v>
      </c>
      <c r="V71" s="25">
        <v>2331470</v>
      </c>
    </row>
    <row r="72" s="3" customFormat="1" ht="30" customHeight="1" spans="1:22">
      <c r="A72" s="16">
        <v>70</v>
      </c>
      <c r="B72" s="17" t="s">
        <v>23</v>
      </c>
      <c r="C72" s="17" t="s">
        <v>250</v>
      </c>
      <c r="D72" s="18">
        <v>14</v>
      </c>
      <c r="E72" s="17" t="s">
        <v>25</v>
      </c>
      <c r="F72" s="17" t="s">
        <v>283</v>
      </c>
      <c r="G72" s="19" t="s">
        <v>246</v>
      </c>
      <c r="H72" s="17" t="s">
        <v>284</v>
      </c>
      <c r="I72" s="25">
        <v>85444919</v>
      </c>
      <c r="J72" s="17" t="s">
        <v>39</v>
      </c>
      <c r="K72" s="17" t="s">
        <v>40</v>
      </c>
      <c r="L72" s="17" t="s">
        <v>32</v>
      </c>
      <c r="M72" s="17" t="s">
        <v>33</v>
      </c>
      <c r="N72" s="24">
        <v>6000</v>
      </c>
      <c r="O72" s="17">
        <v>0</v>
      </c>
      <c r="P72" s="25" t="s">
        <v>269</v>
      </c>
      <c r="Q72" s="17">
        <v>0</v>
      </c>
      <c r="R72" s="17">
        <v>0.53</v>
      </c>
      <c r="S72" s="17">
        <v>0.0026</v>
      </c>
      <c r="T72" s="17">
        <f t="shared" si="2"/>
        <v>15.6</v>
      </c>
      <c r="U72" s="31">
        <v>45194</v>
      </c>
      <c r="V72" s="25">
        <v>2331471</v>
      </c>
    </row>
    <row r="73" s="3" customFormat="1" ht="30" customHeight="1" spans="1:22">
      <c r="A73" s="16">
        <v>71</v>
      </c>
      <c r="B73" s="17" t="s">
        <v>23</v>
      </c>
      <c r="C73" s="17" t="s">
        <v>250</v>
      </c>
      <c r="D73" s="18">
        <v>15</v>
      </c>
      <c r="E73" s="17" t="s">
        <v>25</v>
      </c>
      <c r="F73" s="17" t="s">
        <v>285</v>
      </c>
      <c r="G73" s="19" t="s">
        <v>246</v>
      </c>
      <c r="H73" s="17" t="s">
        <v>286</v>
      </c>
      <c r="I73" s="25">
        <v>85444919</v>
      </c>
      <c r="J73" s="17" t="s">
        <v>39</v>
      </c>
      <c r="K73" s="17" t="s">
        <v>40</v>
      </c>
      <c r="L73" s="17" t="s">
        <v>32</v>
      </c>
      <c r="M73" s="17" t="s">
        <v>33</v>
      </c>
      <c r="N73" s="24">
        <v>109000</v>
      </c>
      <c r="O73" s="17">
        <v>0</v>
      </c>
      <c r="P73" s="25" t="s">
        <v>272</v>
      </c>
      <c r="Q73" s="17">
        <v>0</v>
      </c>
      <c r="R73" s="17">
        <v>9.7</v>
      </c>
      <c r="S73" s="17">
        <v>0.0026</v>
      </c>
      <c r="T73" s="17">
        <f t="shared" si="2"/>
        <v>283.4</v>
      </c>
      <c r="U73" s="31">
        <v>45204</v>
      </c>
      <c r="V73" s="25">
        <v>2331472</v>
      </c>
    </row>
    <row r="74" s="3" customFormat="1" ht="30" customHeight="1" spans="1:22">
      <c r="A74" s="16">
        <v>72</v>
      </c>
      <c r="B74" s="17" t="s">
        <v>23</v>
      </c>
      <c r="C74" s="17" t="s">
        <v>250</v>
      </c>
      <c r="D74" s="18">
        <v>16</v>
      </c>
      <c r="E74" s="17" t="s">
        <v>25</v>
      </c>
      <c r="F74" s="17" t="s">
        <v>287</v>
      </c>
      <c r="G74" s="19" t="s">
        <v>246</v>
      </c>
      <c r="H74" s="17" t="s">
        <v>288</v>
      </c>
      <c r="I74" s="25">
        <v>85444919</v>
      </c>
      <c r="J74" s="17" t="s">
        <v>39</v>
      </c>
      <c r="K74" s="17" t="s">
        <v>40</v>
      </c>
      <c r="L74" s="17" t="s">
        <v>32</v>
      </c>
      <c r="M74" s="17" t="s">
        <v>33</v>
      </c>
      <c r="N74" s="24">
        <v>67000</v>
      </c>
      <c r="O74" s="17">
        <v>0</v>
      </c>
      <c r="P74" s="25" t="s">
        <v>269</v>
      </c>
      <c r="Q74" s="17">
        <v>0</v>
      </c>
      <c r="R74" s="17">
        <v>6.43</v>
      </c>
      <c r="S74" s="17">
        <v>0.0026</v>
      </c>
      <c r="T74" s="17">
        <f t="shared" si="2"/>
        <v>174.2</v>
      </c>
      <c r="U74" s="31">
        <v>45177</v>
      </c>
      <c r="V74" s="25">
        <v>2331473</v>
      </c>
    </row>
    <row r="75" s="3" customFormat="1" ht="30" customHeight="1" spans="1:22">
      <c r="A75" s="16">
        <v>73</v>
      </c>
      <c r="B75" s="17" t="s">
        <v>23</v>
      </c>
      <c r="C75" s="17" t="s">
        <v>250</v>
      </c>
      <c r="D75" s="18">
        <v>17</v>
      </c>
      <c r="E75" s="17" t="s">
        <v>25</v>
      </c>
      <c r="F75" s="17" t="s">
        <v>289</v>
      </c>
      <c r="G75" s="19" t="s">
        <v>246</v>
      </c>
      <c r="H75" s="17" t="s">
        <v>290</v>
      </c>
      <c r="I75" s="25">
        <v>85444919</v>
      </c>
      <c r="J75" s="17" t="s">
        <v>39</v>
      </c>
      <c r="K75" s="17" t="s">
        <v>40</v>
      </c>
      <c r="L75" s="17" t="s">
        <v>32</v>
      </c>
      <c r="M75" s="17" t="s">
        <v>33</v>
      </c>
      <c r="N75" s="24">
        <v>20000</v>
      </c>
      <c r="O75" s="17">
        <v>0</v>
      </c>
      <c r="P75" s="25" t="s">
        <v>253</v>
      </c>
      <c r="Q75" s="17">
        <v>0</v>
      </c>
      <c r="R75" s="17">
        <v>2</v>
      </c>
      <c r="S75" s="17">
        <v>0.0027</v>
      </c>
      <c r="T75" s="17">
        <f t="shared" si="2"/>
        <v>54</v>
      </c>
      <c r="U75" s="31">
        <v>45194</v>
      </c>
      <c r="V75" s="25">
        <v>2331474</v>
      </c>
    </row>
    <row r="76" s="3" customFormat="1" ht="30" customHeight="1" spans="1:22">
      <c r="A76" s="16">
        <v>74</v>
      </c>
      <c r="B76" s="17" t="s">
        <v>23</v>
      </c>
      <c r="C76" s="17" t="s">
        <v>250</v>
      </c>
      <c r="D76" s="18">
        <v>18</v>
      </c>
      <c r="E76" s="17" t="s">
        <v>25</v>
      </c>
      <c r="F76" s="17" t="s">
        <v>291</v>
      </c>
      <c r="G76" s="19" t="s">
        <v>246</v>
      </c>
      <c r="H76" s="17" t="s">
        <v>292</v>
      </c>
      <c r="I76" s="25">
        <v>85444919</v>
      </c>
      <c r="J76" s="17" t="s">
        <v>39</v>
      </c>
      <c r="K76" s="17" t="s">
        <v>40</v>
      </c>
      <c r="L76" s="17" t="s">
        <v>32</v>
      </c>
      <c r="M76" s="17" t="s">
        <v>33</v>
      </c>
      <c r="N76" s="24">
        <v>8000</v>
      </c>
      <c r="O76" s="17">
        <v>0</v>
      </c>
      <c r="P76" s="25" t="s">
        <v>272</v>
      </c>
      <c r="Q76" s="17">
        <v>0</v>
      </c>
      <c r="R76" s="17">
        <v>0.99</v>
      </c>
      <c r="S76" s="17">
        <v>0.0029</v>
      </c>
      <c r="T76" s="17">
        <f t="shared" si="2"/>
        <v>23.2</v>
      </c>
      <c r="U76" s="31">
        <v>45194</v>
      </c>
      <c r="V76" s="25">
        <v>2331475</v>
      </c>
    </row>
    <row r="77" s="3" customFormat="1" ht="30" customHeight="1" spans="1:22">
      <c r="A77" s="16">
        <v>75</v>
      </c>
      <c r="B77" s="17" t="s">
        <v>23</v>
      </c>
      <c r="C77" s="17" t="s">
        <v>250</v>
      </c>
      <c r="D77" s="18">
        <v>20</v>
      </c>
      <c r="E77" s="17" t="s">
        <v>25</v>
      </c>
      <c r="F77" s="17" t="s">
        <v>293</v>
      </c>
      <c r="G77" s="19" t="s">
        <v>246</v>
      </c>
      <c r="H77" s="17" t="s">
        <v>294</v>
      </c>
      <c r="I77" s="25">
        <v>85444919</v>
      </c>
      <c r="J77" s="17" t="s">
        <v>39</v>
      </c>
      <c r="K77" s="17" t="s">
        <v>40</v>
      </c>
      <c r="L77" s="17" t="s">
        <v>32</v>
      </c>
      <c r="M77" s="17" t="s">
        <v>33</v>
      </c>
      <c r="N77" s="24">
        <v>41000</v>
      </c>
      <c r="O77" s="17">
        <v>0</v>
      </c>
      <c r="P77" s="25" t="s">
        <v>253</v>
      </c>
      <c r="Q77" s="17">
        <v>0</v>
      </c>
      <c r="R77" s="17">
        <v>7.79</v>
      </c>
      <c r="S77" s="17">
        <v>0.0046</v>
      </c>
      <c r="T77" s="17">
        <f t="shared" si="2"/>
        <v>188.6</v>
      </c>
      <c r="U77" s="31">
        <v>45194</v>
      </c>
      <c r="V77" s="25">
        <v>2331476</v>
      </c>
    </row>
    <row r="78" s="3" customFormat="1" ht="30" customHeight="1" spans="1:22">
      <c r="A78" s="16">
        <v>76</v>
      </c>
      <c r="B78" s="17" t="s">
        <v>23</v>
      </c>
      <c r="C78" s="17" t="s">
        <v>250</v>
      </c>
      <c r="D78" s="18">
        <v>21</v>
      </c>
      <c r="E78" s="17" t="s">
        <v>25</v>
      </c>
      <c r="F78" s="17" t="s">
        <v>295</v>
      </c>
      <c r="G78" s="19" t="s">
        <v>246</v>
      </c>
      <c r="H78" s="17" t="s">
        <v>296</v>
      </c>
      <c r="I78" s="25">
        <v>85444919</v>
      </c>
      <c r="J78" s="17" t="s">
        <v>39</v>
      </c>
      <c r="K78" s="17" t="s">
        <v>40</v>
      </c>
      <c r="L78" s="17" t="s">
        <v>32</v>
      </c>
      <c r="M78" s="17" t="s">
        <v>33</v>
      </c>
      <c r="N78" s="24">
        <v>54000</v>
      </c>
      <c r="O78" s="17">
        <v>1</v>
      </c>
      <c r="P78" s="25" t="s">
        <v>297</v>
      </c>
      <c r="Q78" s="17">
        <v>15.48</v>
      </c>
      <c r="R78" s="17">
        <v>14.04</v>
      </c>
      <c r="S78" s="17">
        <v>0.0059</v>
      </c>
      <c r="T78" s="17">
        <f t="shared" si="2"/>
        <v>318.6</v>
      </c>
      <c r="U78" s="31">
        <v>45194</v>
      </c>
      <c r="V78" s="25">
        <v>2331477</v>
      </c>
    </row>
    <row r="79" s="3" customFormat="1" ht="30" customHeight="1" spans="1:22">
      <c r="A79" s="16">
        <v>77</v>
      </c>
      <c r="B79" s="17" t="s">
        <v>23</v>
      </c>
      <c r="C79" s="17" t="s">
        <v>250</v>
      </c>
      <c r="D79" s="18">
        <v>22</v>
      </c>
      <c r="E79" s="17" t="s">
        <v>25</v>
      </c>
      <c r="F79" s="17" t="s">
        <v>298</v>
      </c>
      <c r="G79" s="19" t="s">
        <v>246</v>
      </c>
      <c r="H79" s="17" t="s">
        <v>299</v>
      </c>
      <c r="I79" s="25">
        <v>85444919</v>
      </c>
      <c r="J79" s="17" t="s">
        <v>39</v>
      </c>
      <c r="K79" s="17" t="s">
        <v>40</v>
      </c>
      <c r="L79" s="17" t="s">
        <v>32</v>
      </c>
      <c r="M79" s="17" t="s">
        <v>33</v>
      </c>
      <c r="N79" s="24">
        <v>55000</v>
      </c>
      <c r="O79" s="17">
        <v>1</v>
      </c>
      <c r="P79" s="25" t="s">
        <v>300</v>
      </c>
      <c r="Q79" s="17">
        <v>17.22</v>
      </c>
      <c r="R79" s="17">
        <v>15.73</v>
      </c>
      <c r="S79" s="17">
        <v>0.0065</v>
      </c>
      <c r="T79" s="17">
        <f t="shared" si="2"/>
        <v>357.5</v>
      </c>
      <c r="U79" s="31">
        <v>45194</v>
      </c>
      <c r="V79" s="25">
        <v>2331478</v>
      </c>
    </row>
    <row r="80" s="3" customFormat="1" ht="30" customHeight="1" spans="1:22">
      <c r="A80" s="16">
        <v>78</v>
      </c>
      <c r="B80" s="17" t="s">
        <v>23</v>
      </c>
      <c r="C80" s="17" t="s">
        <v>244</v>
      </c>
      <c r="D80" s="18">
        <v>2</v>
      </c>
      <c r="E80" s="17" t="s">
        <v>25</v>
      </c>
      <c r="F80" s="17" t="s">
        <v>301</v>
      </c>
      <c r="G80" s="19" t="s">
        <v>246</v>
      </c>
      <c r="H80" s="17" t="s">
        <v>302</v>
      </c>
      <c r="I80" s="25">
        <v>85444919</v>
      </c>
      <c r="J80" s="17" t="s">
        <v>39</v>
      </c>
      <c r="K80" s="17" t="s">
        <v>40</v>
      </c>
      <c r="L80" s="17" t="s">
        <v>32</v>
      </c>
      <c r="M80" s="17" t="s">
        <v>33</v>
      </c>
      <c r="N80" s="24">
        <v>66000</v>
      </c>
      <c r="O80" s="17">
        <v>22</v>
      </c>
      <c r="P80" s="25" t="s">
        <v>303</v>
      </c>
      <c r="Q80" s="17">
        <v>291.06</v>
      </c>
      <c r="R80" s="17">
        <v>283.8</v>
      </c>
      <c r="S80" s="17">
        <v>0.0884</v>
      </c>
      <c r="T80" s="17">
        <f t="shared" si="2"/>
        <v>5834.4</v>
      </c>
      <c r="U80" s="31">
        <v>45182</v>
      </c>
      <c r="V80" s="25">
        <v>2331480</v>
      </c>
    </row>
    <row r="81" s="3" customFormat="1" ht="30" customHeight="1" spans="1:22">
      <c r="A81" s="16">
        <v>79</v>
      </c>
      <c r="B81" s="17" t="s">
        <v>23</v>
      </c>
      <c r="C81" s="17" t="s">
        <v>304</v>
      </c>
      <c r="D81" s="18">
        <v>1</v>
      </c>
      <c r="E81" s="17" t="s">
        <v>25</v>
      </c>
      <c r="F81" s="17" t="s">
        <v>305</v>
      </c>
      <c r="G81" s="19" t="s">
        <v>306</v>
      </c>
      <c r="H81" s="17" t="s">
        <v>307</v>
      </c>
      <c r="I81" s="25">
        <v>73181510</v>
      </c>
      <c r="J81" s="17" t="s">
        <v>308</v>
      </c>
      <c r="K81" s="17" t="s">
        <v>309</v>
      </c>
      <c r="L81" s="17" t="s">
        <v>32</v>
      </c>
      <c r="M81" s="17" t="s">
        <v>33</v>
      </c>
      <c r="N81" s="24">
        <v>355000</v>
      </c>
      <c r="O81" s="17">
        <v>6</v>
      </c>
      <c r="P81" s="25" t="s">
        <v>310</v>
      </c>
      <c r="Q81" s="17">
        <v>84.33</v>
      </c>
      <c r="R81" s="17">
        <v>71</v>
      </c>
      <c r="S81" s="17">
        <v>0.0008</v>
      </c>
      <c r="T81" s="17">
        <f t="shared" si="2"/>
        <v>284</v>
      </c>
      <c r="U81" s="31">
        <v>45180</v>
      </c>
      <c r="V81" s="25">
        <v>2332030</v>
      </c>
    </row>
    <row r="82" s="3" customFormat="1" ht="30" customHeight="1" spans="1:22">
      <c r="A82" s="16">
        <v>80</v>
      </c>
      <c r="B82" s="17" t="s">
        <v>23</v>
      </c>
      <c r="C82" s="17" t="s">
        <v>311</v>
      </c>
      <c r="D82" s="18">
        <v>1</v>
      </c>
      <c r="E82" s="17" t="s">
        <v>25</v>
      </c>
      <c r="F82" s="17" t="s">
        <v>312</v>
      </c>
      <c r="G82" s="19" t="s">
        <v>313</v>
      </c>
      <c r="H82" s="17" t="s">
        <v>314</v>
      </c>
      <c r="I82" s="25">
        <v>85366911</v>
      </c>
      <c r="J82" s="17" t="s">
        <v>315</v>
      </c>
      <c r="K82" s="17" t="s">
        <v>316</v>
      </c>
      <c r="L82" s="17" t="s">
        <v>32</v>
      </c>
      <c r="M82" s="17" t="s">
        <v>33</v>
      </c>
      <c r="N82" s="24">
        <v>18000</v>
      </c>
      <c r="O82" s="17">
        <v>6</v>
      </c>
      <c r="P82" s="25" t="s">
        <v>317</v>
      </c>
      <c r="Q82" s="17">
        <v>77.28</v>
      </c>
      <c r="R82" s="17">
        <v>52.2</v>
      </c>
      <c r="S82" s="17">
        <v>0.1468</v>
      </c>
      <c r="T82" s="17">
        <f t="shared" si="2"/>
        <v>2642.4</v>
      </c>
      <c r="U82" s="31">
        <v>45174</v>
      </c>
      <c r="V82" s="25">
        <v>2331457</v>
      </c>
    </row>
    <row r="83" s="3" customFormat="1" ht="30" customHeight="1" spans="1:22">
      <c r="A83" s="16">
        <v>81</v>
      </c>
      <c r="B83" s="17" t="s">
        <v>23</v>
      </c>
      <c r="C83" s="17" t="s">
        <v>318</v>
      </c>
      <c r="D83" s="18">
        <v>1</v>
      </c>
      <c r="E83" s="17" t="s">
        <v>25</v>
      </c>
      <c r="F83" s="17" t="s">
        <v>319</v>
      </c>
      <c r="G83" s="19" t="s">
        <v>320</v>
      </c>
      <c r="H83" s="17" t="s">
        <v>321</v>
      </c>
      <c r="I83" s="25">
        <v>39211999</v>
      </c>
      <c r="J83" s="17" t="s">
        <v>39</v>
      </c>
      <c r="K83" s="17" t="s">
        <v>40</v>
      </c>
      <c r="L83" s="17" t="s">
        <v>32</v>
      </c>
      <c r="M83" s="17" t="s">
        <v>33</v>
      </c>
      <c r="N83" s="24">
        <v>1420</v>
      </c>
      <c r="O83" s="17">
        <v>2</v>
      </c>
      <c r="P83" s="25" t="s">
        <v>322</v>
      </c>
      <c r="Q83" s="17">
        <v>12</v>
      </c>
      <c r="R83" s="17">
        <v>11.5</v>
      </c>
      <c r="S83" s="17">
        <v>0.0462</v>
      </c>
      <c r="T83" s="17">
        <f t="shared" si="2"/>
        <v>65.604</v>
      </c>
      <c r="U83" s="31">
        <v>45174</v>
      </c>
      <c r="V83" s="25">
        <v>2331453</v>
      </c>
    </row>
    <row r="84" s="3" customFormat="1" ht="30" customHeight="1" spans="1:22">
      <c r="A84" s="16">
        <v>82</v>
      </c>
      <c r="B84" s="17" t="s">
        <v>23</v>
      </c>
      <c r="C84" s="17" t="s">
        <v>323</v>
      </c>
      <c r="D84" s="18">
        <v>1</v>
      </c>
      <c r="E84" s="17" t="s">
        <v>25</v>
      </c>
      <c r="F84" s="17" t="s">
        <v>324</v>
      </c>
      <c r="G84" s="19" t="s">
        <v>320</v>
      </c>
      <c r="H84" s="17" t="s">
        <v>325</v>
      </c>
      <c r="I84" s="25">
        <v>39211999</v>
      </c>
      <c r="J84" s="17" t="s">
        <v>39</v>
      </c>
      <c r="K84" s="17" t="s">
        <v>40</v>
      </c>
      <c r="L84" s="17" t="s">
        <v>32</v>
      </c>
      <c r="M84" s="17" t="s">
        <v>33</v>
      </c>
      <c r="N84" s="24">
        <v>3700</v>
      </c>
      <c r="O84" s="17">
        <v>1</v>
      </c>
      <c r="P84" s="25" t="s">
        <v>326</v>
      </c>
      <c r="Q84" s="17">
        <v>5.45</v>
      </c>
      <c r="R84" s="17">
        <v>4.03</v>
      </c>
      <c r="S84" s="17">
        <v>0.0138</v>
      </c>
      <c r="T84" s="17">
        <f t="shared" si="2"/>
        <v>51.06</v>
      </c>
      <c r="U84" s="31">
        <v>45177</v>
      </c>
      <c r="V84" s="25">
        <v>2331447</v>
      </c>
    </row>
    <row r="85" s="3" customFormat="1" ht="30" customHeight="1" spans="1:22">
      <c r="A85" s="16">
        <v>83</v>
      </c>
      <c r="B85" s="17" t="s">
        <v>23</v>
      </c>
      <c r="C85" s="17" t="s">
        <v>323</v>
      </c>
      <c r="D85" s="18">
        <v>2</v>
      </c>
      <c r="E85" s="17" t="s">
        <v>25</v>
      </c>
      <c r="F85" s="17" t="s">
        <v>327</v>
      </c>
      <c r="G85" s="19" t="s">
        <v>320</v>
      </c>
      <c r="H85" s="17" t="s">
        <v>328</v>
      </c>
      <c r="I85" s="25">
        <v>39211999</v>
      </c>
      <c r="J85" s="17" t="s">
        <v>39</v>
      </c>
      <c r="K85" s="17" t="s">
        <v>40</v>
      </c>
      <c r="L85" s="17" t="s">
        <v>32</v>
      </c>
      <c r="M85" s="17" t="s">
        <v>33</v>
      </c>
      <c r="N85" s="24">
        <v>6300</v>
      </c>
      <c r="O85" s="17">
        <v>16</v>
      </c>
      <c r="P85" s="25" t="s">
        <v>329</v>
      </c>
      <c r="Q85" s="17">
        <v>131.36</v>
      </c>
      <c r="R85" s="20">
        <v>120.25</v>
      </c>
      <c r="S85" s="17">
        <v>0.2109</v>
      </c>
      <c r="T85" s="17">
        <f t="shared" si="2"/>
        <v>1328.67</v>
      </c>
      <c r="U85" s="31">
        <v>45174</v>
      </c>
      <c r="V85" s="25">
        <v>2331448</v>
      </c>
    </row>
    <row r="86" s="3" customFormat="1" ht="30" customHeight="1" spans="1:22">
      <c r="A86" s="16">
        <v>84</v>
      </c>
      <c r="B86" s="17" t="s">
        <v>23</v>
      </c>
      <c r="C86" s="17" t="s">
        <v>330</v>
      </c>
      <c r="D86" s="18">
        <v>1</v>
      </c>
      <c r="E86" s="17" t="s">
        <v>25</v>
      </c>
      <c r="F86" s="17" t="s">
        <v>331</v>
      </c>
      <c r="G86" s="19" t="s">
        <v>332</v>
      </c>
      <c r="H86" s="17" t="s">
        <v>333</v>
      </c>
      <c r="I86" s="25">
        <v>48239010</v>
      </c>
      <c r="J86" s="17" t="s">
        <v>334</v>
      </c>
      <c r="K86" s="17" t="s">
        <v>335</v>
      </c>
      <c r="L86" s="17" t="s">
        <v>32</v>
      </c>
      <c r="M86" s="17" t="s">
        <v>248</v>
      </c>
      <c r="N86" s="24">
        <v>19000</v>
      </c>
      <c r="O86" s="17">
        <v>3</v>
      </c>
      <c r="P86" s="25" t="s">
        <v>336</v>
      </c>
      <c r="Q86" s="17">
        <v>44.67</v>
      </c>
      <c r="R86" s="17">
        <v>43.7</v>
      </c>
      <c r="S86" s="17">
        <v>0.0087</v>
      </c>
      <c r="T86" s="17">
        <f t="shared" si="2"/>
        <v>165.3</v>
      </c>
      <c r="U86" s="31">
        <v>45194</v>
      </c>
      <c r="V86" s="25">
        <v>2331539</v>
      </c>
    </row>
    <row r="87" s="3" customFormat="1" ht="30" customHeight="1" spans="1:22">
      <c r="A87" s="16">
        <v>85</v>
      </c>
      <c r="B87" s="17" t="s">
        <v>23</v>
      </c>
      <c r="C87" s="17" t="s">
        <v>337</v>
      </c>
      <c r="D87" s="18">
        <v>1</v>
      </c>
      <c r="E87" s="17" t="s">
        <v>25</v>
      </c>
      <c r="F87" s="17" t="s">
        <v>338</v>
      </c>
      <c r="G87" s="22" t="s">
        <v>339</v>
      </c>
      <c r="H87" s="17" t="s">
        <v>340</v>
      </c>
      <c r="I87" s="25">
        <v>40021990</v>
      </c>
      <c r="J87" s="17" t="s">
        <v>341</v>
      </c>
      <c r="K87" s="17" t="s">
        <v>342</v>
      </c>
      <c r="L87" s="26" t="s">
        <v>343</v>
      </c>
      <c r="M87" s="17" t="s">
        <v>344</v>
      </c>
      <c r="N87" s="24">
        <v>60</v>
      </c>
      <c r="O87" s="17">
        <v>3</v>
      </c>
      <c r="P87" s="25" t="s">
        <v>345</v>
      </c>
      <c r="Q87" s="17">
        <v>61</v>
      </c>
      <c r="R87" s="17">
        <v>60</v>
      </c>
      <c r="S87" s="17">
        <v>4.4178</v>
      </c>
      <c r="T87" s="17">
        <f t="shared" si="2"/>
        <v>265.068</v>
      </c>
      <c r="U87" s="31">
        <v>45180</v>
      </c>
      <c r="V87" s="25">
        <v>2331796</v>
      </c>
    </row>
    <row r="88" s="3" customFormat="1" ht="30" customHeight="1" spans="1:22">
      <c r="A88" s="16">
        <v>86</v>
      </c>
      <c r="B88" s="17" t="s">
        <v>23</v>
      </c>
      <c r="C88" s="17" t="s">
        <v>346</v>
      </c>
      <c r="D88" s="18">
        <v>1</v>
      </c>
      <c r="E88" s="17" t="s">
        <v>25</v>
      </c>
      <c r="F88" s="17" t="s">
        <v>347</v>
      </c>
      <c r="G88" s="19" t="s">
        <v>348</v>
      </c>
      <c r="H88" s="17" t="s">
        <v>349</v>
      </c>
      <c r="I88" s="25">
        <v>39269099</v>
      </c>
      <c r="J88" s="17" t="s">
        <v>341</v>
      </c>
      <c r="K88" s="17" t="s">
        <v>342</v>
      </c>
      <c r="L88" s="17" t="s">
        <v>32</v>
      </c>
      <c r="M88" s="17" t="s">
        <v>33</v>
      </c>
      <c r="N88" s="24">
        <v>3500</v>
      </c>
      <c r="O88" s="17">
        <v>1</v>
      </c>
      <c r="P88" s="25" t="s">
        <v>350</v>
      </c>
      <c r="Q88" s="17">
        <v>16.3</v>
      </c>
      <c r="R88" s="17">
        <v>12.74</v>
      </c>
      <c r="S88" s="17">
        <v>0.5852</v>
      </c>
      <c r="T88" s="17">
        <f t="shared" si="2"/>
        <v>2048.2</v>
      </c>
      <c r="U88" s="31">
        <v>45174</v>
      </c>
      <c r="V88" s="25">
        <v>2331864</v>
      </c>
    </row>
    <row r="89" s="3" customFormat="1" ht="30" customHeight="1" spans="1:22">
      <c r="A89" s="16">
        <v>87</v>
      </c>
      <c r="B89" s="17" t="s">
        <v>23</v>
      </c>
      <c r="C89" s="17" t="s">
        <v>351</v>
      </c>
      <c r="D89" s="18">
        <v>1</v>
      </c>
      <c r="E89" s="17" t="s">
        <v>25</v>
      </c>
      <c r="F89" s="17" t="s">
        <v>352</v>
      </c>
      <c r="G89" s="19" t="s">
        <v>353</v>
      </c>
      <c r="H89" s="17" t="s">
        <v>354</v>
      </c>
      <c r="I89" s="25">
        <v>40169390</v>
      </c>
      <c r="J89" s="17" t="s">
        <v>341</v>
      </c>
      <c r="K89" s="17" t="s">
        <v>342</v>
      </c>
      <c r="L89" s="17" t="s">
        <v>32</v>
      </c>
      <c r="M89" s="17" t="s">
        <v>33</v>
      </c>
      <c r="N89" s="24">
        <v>10000</v>
      </c>
      <c r="O89" s="17">
        <v>1</v>
      </c>
      <c r="P89" s="25" t="s">
        <v>355</v>
      </c>
      <c r="Q89" s="17">
        <v>13.55</v>
      </c>
      <c r="R89" s="17">
        <v>12</v>
      </c>
      <c r="S89" s="17">
        <v>0.0476</v>
      </c>
      <c r="T89" s="17">
        <f t="shared" si="2"/>
        <v>476</v>
      </c>
      <c r="U89" s="31">
        <v>45174</v>
      </c>
      <c r="V89" s="25">
        <v>2332027</v>
      </c>
    </row>
    <row r="90" s="3" customFormat="1" ht="30" customHeight="1" spans="1:22">
      <c r="A90" s="16">
        <v>88</v>
      </c>
      <c r="B90" s="17" t="s">
        <v>23</v>
      </c>
      <c r="C90" s="17" t="s">
        <v>351</v>
      </c>
      <c r="D90" s="18">
        <v>2</v>
      </c>
      <c r="E90" s="17" t="s">
        <v>25</v>
      </c>
      <c r="F90" s="17" t="s">
        <v>356</v>
      </c>
      <c r="G90" s="19" t="s">
        <v>353</v>
      </c>
      <c r="H90" s="17" t="s">
        <v>357</v>
      </c>
      <c r="I90" s="25">
        <v>40169390</v>
      </c>
      <c r="J90" s="17" t="s">
        <v>341</v>
      </c>
      <c r="K90" s="17" t="s">
        <v>342</v>
      </c>
      <c r="L90" s="17" t="s">
        <v>32</v>
      </c>
      <c r="M90" s="17" t="s">
        <v>33</v>
      </c>
      <c r="N90" s="24">
        <v>11500</v>
      </c>
      <c r="O90" s="17">
        <v>1</v>
      </c>
      <c r="P90" s="25" t="s">
        <v>358</v>
      </c>
      <c r="Q90" s="17">
        <v>9.53</v>
      </c>
      <c r="R90" s="17">
        <v>9.2</v>
      </c>
      <c r="S90" s="17">
        <v>0.0179</v>
      </c>
      <c r="T90" s="17">
        <f t="shared" si="2"/>
        <v>205.85</v>
      </c>
      <c r="U90" s="31">
        <v>45174</v>
      </c>
      <c r="V90" s="25">
        <v>2332026</v>
      </c>
    </row>
    <row r="91" s="3" customFormat="1" ht="30" customHeight="1" spans="1:22">
      <c r="A91" s="16">
        <v>89</v>
      </c>
      <c r="B91" s="17" t="s">
        <v>23</v>
      </c>
      <c r="C91" s="17" t="s">
        <v>351</v>
      </c>
      <c r="D91" s="18">
        <v>3</v>
      </c>
      <c r="E91" s="17" t="s">
        <v>25</v>
      </c>
      <c r="F91" s="17" t="s">
        <v>359</v>
      </c>
      <c r="G91" s="19" t="s">
        <v>353</v>
      </c>
      <c r="H91" s="17" t="s">
        <v>360</v>
      </c>
      <c r="I91" s="25">
        <v>40169390</v>
      </c>
      <c r="J91" s="17" t="s">
        <v>341</v>
      </c>
      <c r="K91" s="17" t="s">
        <v>342</v>
      </c>
      <c r="L91" s="17" t="s">
        <v>32</v>
      </c>
      <c r="M91" s="17" t="s">
        <v>33</v>
      </c>
      <c r="N91" s="24">
        <v>15200</v>
      </c>
      <c r="O91" s="17">
        <v>1</v>
      </c>
      <c r="P91" s="25" t="s">
        <v>361</v>
      </c>
      <c r="Q91" s="17">
        <v>15.65</v>
      </c>
      <c r="R91" s="17">
        <v>12.16</v>
      </c>
      <c r="S91" s="17">
        <v>0.0594</v>
      </c>
      <c r="T91" s="17">
        <f t="shared" si="2"/>
        <v>902.88</v>
      </c>
      <c r="U91" s="31">
        <v>45174</v>
      </c>
      <c r="V91" s="25">
        <v>2332028</v>
      </c>
    </row>
    <row r="92" s="3" customFormat="1" ht="30" customHeight="1" spans="1:22">
      <c r="A92" s="16">
        <v>90</v>
      </c>
      <c r="B92" s="17" t="s">
        <v>23</v>
      </c>
      <c r="C92" s="17" t="s">
        <v>362</v>
      </c>
      <c r="D92" s="18">
        <v>1</v>
      </c>
      <c r="E92" s="17" t="s">
        <v>25</v>
      </c>
      <c r="F92" s="17" t="s">
        <v>363</v>
      </c>
      <c r="G92" s="19" t="s">
        <v>353</v>
      </c>
      <c r="H92" s="17" t="s">
        <v>364</v>
      </c>
      <c r="I92" s="25">
        <v>40169999</v>
      </c>
      <c r="J92" s="17" t="s">
        <v>39</v>
      </c>
      <c r="K92" s="17" t="s">
        <v>40</v>
      </c>
      <c r="L92" s="17" t="s">
        <v>32</v>
      </c>
      <c r="M92" s="17" t="s">
        <v>33</v>
      </c>
      <c r="N92" s="24">
        <v>155000</v>
      </c>
      <c r="O92" s="17">
        <v>3</v>
      </c>
      <c r="P92" s="25" t="s">
        <v>365</v>
      </c>
      <c r="Q92" s="17">
        <v>39.2</v>
      </c>
      <c r="R92" s="17">
        <v>31</v>
      </c>
      <c r="S92" s="17">
        <v>0.0089</v>
      </c>
      <c r="T92" s="17">
        <f t="shared" si="2"/>
        <v>1379.5</v>
      </c>
      <c r="U92" s="31">
        <v>45180</v>
      </c>
      <c r="V92" s="25">
        <v>2332025</v>
      </c>
    </row>
    <row r="93" s="3" customFormat="1" ht="30" customHeight="1" spans="1:22">
      <c r="A93" s="16">
        <v>91</v>
      </c>
      <c r="B93" s="17" t="s">
        <v>23</v>
      </c>
      <c r="C93" s="17" t="s">
        <v>366</v>
      </c>
      <c r="D93" s="18">
        <v>1</v>
      </c>
      <c r="E93" s="17" t="s">
        <v>25</v>
      </c>
      <c r="F93" s="17" t="s">
        <v>367</v>
      </c>
      <c r="G93" s="19" t="s">
        <v>368</v>
      </c>
      <c r="H93" s="17" t="s">
        <v>369</v>
      </c>
      <c r="I93" s="25">
        <v>73269099</v>
      </c>
      <c r="J93" s="17" t="s">
        <v>341</v>
      </c>
      <c r="K93" s="17" t="s">
        <v>342</v>
      </c>
      <c r="L93" s="17" t="s">
        <v>32</v>
      </c>
      <c r="M93" s="17" t="s">
        <v>33</v>
      </c>
      <c r="N93" s="24">
        <v>10000</v>
      </c>
      <c r="O93" s="17">
        <v>1</v>
      </c>
      <c r="P93" s="25" t="s">
        <v>370</v>
      </c>
      <c r="Q93" s="17">
        <v>6.42</v>
      </c>
      <c r="R93" s="17">
        <v>6.2</v>
      </c>
      <c r="S93" s="17">
        <v>0.0314</v>
      </c>
      <c r="T93" s="17">
        <f t="shared" si="2"/>
        <v>314</v>
      </c>
      <c r="U93" s="31">
        <v>45194</v>
      </c>
      <c r="V93" s="25">
        <v>2331703</v>
      </c>
    </row>
    <row r="94" s="3" customFormat="1" ht="30" customHeight="1" spans="1:22">
      <c r="A94" s="16">
        <v>92</v>
      </c>
      <c r="B94" s="17" t="s">
        <v>23</v>
      </c>
      <c r="C94" s="17" t="s">
        <v>366</v>
      </c>
      <c r="D94" s="18">
        <v>2</v>
      </c>
      <c r="E94" s="17" t="s">
        <v>25</v>
      </c>
      <c r="F94" s="17" t="s">
        <v>371</v>
      </c>
      <c r="G94" s="19" t="s">
        <v>368</v>
      </c>
      <c r="H94" s="17" t="s">
        <v>372</v>
      </c>
      <c r="I94" s="25">
        <v>73269099</v>
      </c>
      <c r="J94" s="17" t="s">
        <v>341</v>
      </c>
      <c r="K94" s="17" t="s">
        <v>342</v>
      </c>
      <c r="L94" s="17" t="s">
        <v>32</v>
      </c>
      <c r="M94" s="17" t="s">
        <v>33</v>
      </c>
      <c r="N94" s="24">
        <v>66600</v>
      </c>
      <c r="O94" s="17">
        <v>4</v>
      </c>
      <c r="P94" s="25" t="s">
        <v>373</v>
      </c>
      <c r="Q94" s="17">
        <v>37.89</v>
      </c>
      <c r="R94" s="17">
        <v>34.63</v>
      </c>
      <c r="S94" s="17">
        <v>0.0225</v>
      </c>
      <c r="T94" s="17">
        <f t="shared" si="2"/>
        <v>1498.5</v>
      </c>
      <c r="U94" s="31">
        <v>45194</v>
      </c>
      <c r="V94" s="25">
        <v>2331704</v>
      </c>
    </row>
    <row r="95" s="3" customFormat="1" ht="30" customHeight="1" spans="1:22">
      <c r="A95" s="16">
        <v>93</v>
      </c>
      <c r="B95" s="17" t="s">
        <v>23</v>
      </c>
      <c r="C95" s="17" t="s">
        <v>374</v>
      </c>
      <c r="D95" s="18">
        <v>1</v>
      </c>
      <c r="E95" s="17" t="s">
        <v>25</v>
      </c>
      <c r="F95" s="17" t="s">
        <v>375</v>
      </c>
      <c r="G95" s="19" t="s">
        <v>376</v>
      </c>
      <c r="H95" s="17" t="s">
        <v>377</v>
      </c>
      <c r="I95" s="25">
        <v>73269099</v>
      </c>
      <c r="J95" s="17" t="s">
        <v>341</v>
      </c>
      <c r="K95" s="17" t="s">
        <v>342</v>
      </c>
      <c r="L95" s="17" t="s">
        <v>32</v>
      </c>
      <c r="M95" s="17" t="s">
        <v>33</v>
      </c>
      <c r="N95" s="24">
        <v>6350</v>
      </c>
      <c r="O95" s="17">
        <v>47</v>
      </c>
      <c r="P95" s="25" t="s">
        <v>378</v>
      </c>
      <c r="Q95" s="17">
        <v>1068.1</v>
      </c>
      <c r="R95" s="17">
        <v>1051.56</v>
      </c>
      <c r="S95" s="17">
        <v>0.942</v>
      </c>
      <c r="T95" s="17">
        <f t="shared" si="2"/>
        <v>5981.7</v>
      </c>
      <c r="U95" s="31">
        <v>45174</v>
      </c>
      <c r="V95" s="25">
        <v>2331702</v>
      </c>
    </row>
    <row r="96" s="3" customFormat="1" ht="30" customHeight="1" spans="1:22">
      <c r="A96" s="16">
        <v>94</v>
      </c>
      <c r="B96" s="17" t="s">
        <v>23</v>
      </c>
      <c r="C96" s="17" t="s">
        <v>379</v>
      </c>
      <c r="D96" s="18">
        <v>1</v>
      </c>
      <c r="E96" s="17" t="s">
        <v>25</v>
      </c>
      <c r="F96" s="17" t="s">
        <v>380</v>
      </c>
      <c r="G96" s="19" t="s">
        <v>368</v>
      </c>
      <c r="H96" s="17" t="s">
        <v>381</v>
      </c>
      <c r="I96" s="25">
        <v>73269099</v>
      </c>
      <c r="J96" s="17" t="s">
        <v>341</v>
      </c>
      <c r="K96" s="17" t="s">
        <v>342</v>
      </c>
      <c r="L96" s="17" t="s">
        <v>32</v>
      </c>
      <c r="M96" s="17" t="s">
        <v>33</v>
      </c>
      <c r="N96" s="24">
        <v>7200</v>
      </c>
      <c r="O96" s="17">
        <v>9</v>
      </c>
      <c r="P96" s="25" t="s">
        <v>382</v>
      </c>
      <c r="Q96" s="17">
        <v>132</v>
      </c>
      <c r="R96" s="17">
        <v>10.8</v>
      </c>
      <c r="S96" s="17">
        <v>0.0145</v>
      </c>
      <c r="T96" s="17">
        <f t="shared" si="2"/>
        <v>104.4</v>
      </c>
      <c r="U96" s="31">
        <v>45174</v>
      </c>
      <c r="V96" s="25">
        <v>2331694</v>
      </c>
    </row>
    <row r="97" s="3" customFormat="1" ht="30" customHeight="1" spans="1:22">
      <c r="A97" s="16">
        <v>95</v>
      </c>
      <c r="B97" s="17" t="s">
        <v>23</v>
      </c>
      <c r="C97" s="17" t="s">
        <v>366</v>
      </c>
      <c r="D97" s="18">
        <v>3</v>
      </c>
      <c r="E97" s="17" t="s">
        <v>25</v>
      </c>
      <c r="F97" s="17" t="s">
        <v>380</v>
      </c>
      <c r="G97" s="19" t="s">
        <v>368</v>
      </c>
      <c r="H97" s="17" t="s">
        <v>381</v>
      </c>
      <c r="I97" s="25">
        <v>73269099</v>
      </c>
      <c r="J97" s="17" t="s">
        <v>341</v>
      </c>
      <c r="K97" s="17" t="s">
        <v>342</v>
      </c>
      <c r="L97" s="17" t="s">
        <v>32</v>
      </c>
      <c r="M97" s="17" t="s">
        <v>33</v>
      </c>
      <c r="N97" s="24">
        <v>77500</v>
      </c>
      <c r="O97" s="17">
        <v>0</v>
      </c>
      <c r="P97" s="25" t="s">
        <v>382</v>
      </c>
      <c r="Q97" s="17">
        <v>0</v>
      </c>
      <c r="R97" s="17">
        <v>116.25</v>
      </c>
      <c r="S97" s="17">
        <v>0.0145</v>
      </c>
      <c r="T97" s="17">
        <f t="shared" si="2"/>
        <v>1123.75</v>
      </c>
      <c r="U97" s="31">
        <v>45189</v>
      </c>
      <c r="V97" s="25">
        <v>2331695</v>
      </c>
    </row>
    <row r="98" s="3" customFormat="1" ht="30" customHeight="1" spans="1:22">
      <c r="A98" s="16">
        <v>96</v>
      </c>
      <c r="B98" s="17" t="s">
        <v>23</v>
      </c>
      <c r="C98" s="17" t="s">
        <v>383</v>
      </c>
      <c r="D98" s="18">
        <v>2</v>
      </c>
      <c r="E98" s="17" t="s">
        <v>25</v>
      </c>
      <c r="F98" s="17" t="s">
        <v>380</v>
      </c>
      <c r="G98" s="19" t="s">
        <v>368</v>
      </c>
      <c r="H98" s="17" t="s">
        <v>381</v>
      </c>
      <c r="I98" s="25">
        <v>73269099</v>
      </c>
      <c r="J98" s="17" t="s">
        <v>341</v>
      </c>
      <c r="K98" s="17" t="s">
        <v>342</v>
      </c>
      <c r="L98" s="17" t="s">
        <v>32</v>
      </c>
      <c r="M98" s="17" t="s">
        <v>33</v>
      </c>
      <c r="N98" s="24">
        <v>1000</v>
      </c>
      <c r="O98" s="17">
        <v>0</v>
      </c>
      <c r="P98" s="25" t="s">
        <v>382</v>
      </c>
      <c r="Q98" s="17">
        <v>0</v>
      </c>
      <c r="R98" s="17">
        <v>1.5</v>
      </c>
      <c r="S98" s="17">
        <v>0.0145</v>
      </c>
      <c r="T98" s="17">
        <f t="shared" si="2"/>
        <v>14.5</v>
      </c>
      <c r="U98" s="31">
        <v>45174</v>
      </c>
      <c r="V98" s="25">
        <v>2331696</v>
      </c>
    </row>
    <row r="99" s="3" customFormat="1" ht="30" customHeight="1" spans="1:22">
      <c r="A99" s="16">
        <v>97</v>
      </c>
      <c r="B99" s="17" t="s">
        <v>23</v>
      </c>
      <c r="C99" s="17" t="s">
        <v>374</v>
      </c>
      <c r="D99" s="18">
        <v>2</v>
      </c>
      <c r="E99" s="17" t="s">
        <v>25</v>
      </c>
      <c r="F99" s="17" t="s">
        <v>384</v>
      </c>
      <c r="G99" s="19" t="s">
        <v>368</v>
      </c>
      <c r="H99" s="17" t="s">
        <v>385</v>
      </c>
      <c r="I99" s="25">
        <v>73269099</v>
      </c>
      <c r="J99" s="17" t="s">
        <v>341</v>
      </c>
      <c r="K99" s="17" t="s">
        <v>342</v>
      </c>
      <c r="L99" s="17" t="s">
        <v>32</v>
      </c>
      <c r="M99" s="17" t="s">
        <v>33</v>
      </c>
      <c r="N99" s="24">
        <v>7000</v>
      </c>
      <c r="O99" s="17">
        <v>1</v>
      </c>
      <c r="P99" s="25" t="s">
        <v>386</v>
      </c>
      <c r="Q99" s="17">
        <v>13.65</v>
      </c>
      <c r="R99" s="17">
        <v>10.01</v>
      </c>
      <c r="S99" s="17">
        <v>0.0145</v>
      </c>
      <c r="T99" s="17">
        <f t="shared" si="2"/>
        <v>101.5</v>
      </c>
      <c r="U99" s="31">
        <v>45174</v>
      </c>
      <c r="V99" s="25">
        <v>2331700</v>
      </c>
    </row>
    <row r="100" s="3" customFormat="1" ht="30" customHeight="1" spans="1:22">
      <c r="A100" s="16">
        <v>98</v>
      </c>
      <c r="B100" s="17" t="s">
        <v>23</v>
      </c>
      <c r="C100" s="17" t="s">
        <v>383</v>
      </c>
      <c r="D100" s="18">
        <v>3</v>
      </c>
      <c r="E100" s="17" t="s">
        <v>25</v>
      </c>
      <c r="F100" s="17" t="s">
        <v>384</v>
      </c>
      <c r="G100" s="19" t="s">
        <v>368</v>
      </c>
      <c r="H100" s="17" t="s">
        <v>385</v>
      </c>
      <c r="I100" s="25">
        <v>73269099</v>
      </c>
      <c r="J100" s="17" t="s">
        <v>341</v>
      </c>
      <c r="K100" s="17" t="s">
        <v>342</v>
      </c>
      <c r="L100" s="17" t="s">
        <v>32</v>
      </c>
      <c r="M100" s="17" t="s">
        <v>33</v>
      </c>
      <c r="N100" s="24">
        <v>2000</v>
      </c>
      <c r="O100" s="17">
        <v>0</v>
      </c>
      <c r="P100" s="25" t="s">
        <v>386</v>
      </c>
      <c r="Q100" s="17">
        <v>0</v>
      </c>
      <c r="R100" s="17">
        <v>2.86</v>
      </c>
      <c r="S100" s="17">
        <v>0.0145</v>
      </c>
      <c r="T100" s="17">
        <f t="shared" ref="T100:T131" si="3">N100*S100</f>
        <v>29</v>
      </c>
      <c r="U100" s="31">
        <v>45174</v>
      </c>
      <c r="V100" s="25">
        <v>2331701</v>
      </c>
    </row>
    <row r="101" s="3" customFormat="1" ht="30" customHeight="1" spans="1:22">
      <c r="A101" s="16">
        <v>99</v>
      </c>
      <c r="B101" s="17" t="s">
        <v>23</v>
      </c>
      <c r="C101" s="17" t="s">
        <v>379</v>
      </c>
      <c r="D101" s="18">
        <v>2</v>
      </c>
      <c r="E101" s="17" t="s">
        <v>25</v>
      </c>
      <c r="F101" s="17" t="s">
        <v>387</v>
      </c>
      <c r="G101" s="19" t="s">
        <v>368</v>
      </c>
      <c r="H101" s="17" t="s">
        <v>388</v>
      </c>
      <c r="I101" s="25">
        <v>73269099</v>
      </c>
      <c r="J101" s="17" t="s">
        <v>341</v>
      </c>
      <c r="K101" s="17" t="s">
        <v>342</v>
      </c>
      <c r="L101" s="17" t="s">
        <v>32</v>
      </c>
      <c r="M101" s="17" t="s">
        <v>33</v>
      </c>
      <c r="N101" s="24">
        <v>7200</v>
      </c>
      <c r="O101" s="17">
        <v>5</v>
      </c>
      <c r="P101" s="25" t="s">
        <v>389</v>
      </c>
      <c r="Q101" s="17">
        <v>72.6</v>
      </c>
      <c r="R101" s="17">
        <v>5.76</v>
      </c>
      <c r="S101" s="17">
        <v>0.0121</v>
      </c>
      <c r="T101" s="17">
        <f t="shared" si="3"/>
        <v>87.12</v>
      </c>
      <c r="U101" s="31">
        <v>45174</v>
      </c>
      <c r="V101" s="25">
        <v>2331697</v>
      </c>
    </row>
    <row r="102" s="3" customFormat="1" ht="30" customHeight="1" spans="1:22">
      <c r="A102" s="16">
        <v>100</v>
      </c>
      <c r="B102" s="17" t="s">
        <v>23</v>
      </c>
      <c r="C102" s="17" t="s">
        <v>366</v>
      </c>
      <c r="D102" s="18">
        <v>4</v>
      </c>
      <c r="E102" s="17" t="s">
        <v>25</v>
      </c>
      <c r="F102" s="17" t="s">
        <v>387</v>
      </c>
      <c r="G102" s="19" t="s">
        <v>368</v>
      </c>
      <c r="H102" s="17" t="s">
        <v>388</v>
      </c>
      <c r="I102" s="25">
        <v>73269099</v>
      </c>
      <c r="J102" s="17" t="s">
        <v>341</v>
      </c>
      <c r="K102" s="17" t="s">
        <v>342</v>
      </c>
      <c r="L102" s="17" t="s">
        <v>32</v>
      </c>
      <c r="M102" s="17" t="s">
        <v>33</v>
      </c>
      <c r="N102" s="24">
        <v>77500</v>
      </c>
      <c r="O102" s="17">
        <v>0</v>
      </c>
      <c r="P102" s="25" t="s">
        <v>389</v>
      </c>
      <c r="Q102" s="17">
        <v>0</v>
      </c>
      <c r="R102" s="17">
        <v>62</v>
      </c>
      <c r="S102" s="17">
        <v>0.0121</v>
      </c>
      <c r="T102" s="17">
        <f t="shared" si="3"/>
        <v>937.75</v>
      </c>
      <c r="U102" s="31">
        <v>45189</v>
      </c>
      <c r="V102" s="25">
        <v>2331698</v>
      </c>
    </row>
    <row r="103" s="3" customFormat="1" ht="30" customHeight="1" spans="1:22">
      <c r="A103" s="16">
        <v>101</v>
      </c>
      <c r="B103" s="17" t="s">
        <v>23</v>
      </c>
      <c r="C103" s="17" t="s">
        <v>383</v>
      </c>
      <c r="D103" s="18">
        <v>4</v>
      </c>
      <c r="E103" s="17" t="s">
        <v>25</v>
      </c>
      <c r="F103" s="17" t="s">
        <v>387</v>
      </c>
      <c r="G103" s="19" t="s">
        <v>368</v>
      </c>
      <c r="H103" s="17" t="s">
        <v>388</v>
      </c>
      <c r="I103" s="25">
        <v>73269099</v>
      </c>
      <c r="J103" s="17" t="s">
        <v>341</v>
      </c>
      <c r="K103" s="17" t="s">
        <v>342</v>
      </c>
      <c r="L103" s="17" t="s">
        <v>32</v>
      </c>
      <c r="M103" s="17" t="s">
        <v>33</v>
      </c>
      <c r="N103" s="24">
        <v>1000</v>
      </c>
      <c r="O103" s="17">
        <v>0</v>
      </c>
      <c r="P103" s="25" t="s">
        <v>389</v>
      </c>
      <c r="Q103" s="17">
        <v>0</v>
      </c>
      <c r="R103" s="17">
        <v>0.8</v>
      </c>
      <c r="S103" s="17">
        <v>0.0121</v>
      </c>
      <c r="T103" s="17">
        <f t="shared" si="3"/>
        <v>12.1</v>
      </c>
      <c r="U103" s="31">
        <v>45174</v>
      </c>
      <c r="V103" s="25">
        <v>2331699</v>
      </c>
    </row>
    <row r="104" s="3" customFormat="1" ht="30" customHeight="1" spans="1:22">
      <c r="A104" s="16">
        <v>102</v>
      </c>
      <c r="B104" s="17" t="s">
        <v>23</v>
      </c>
      <c r="C104" s="17" t="s">
        <v>379</v>
      </c>
      <c r="D104" s="18">
        <v>3</v>
      </c>
      <c r="E104" s="17" t="s">
        <v>25</v>
      </c>
      <c r="F104" s="17" t="s">
        <v>390</v>
      </c>
      <c r="G104" s="19" t="s">
        <v>368</v>
      </c>
      <c r="H104" s="17" t="s">
        <v>391</v>
      </c>
      <c r="I104" s="25">
        <v>73269099</v>
      </c>
      <c r="J104" s="17" t="s">
        <v>341</v>
      </c>
      <c r="K104" s="17" t="s">
        <v>342</v>
      </c>
      <c r="L104" s="17" t="s">
        <v>32</v>
      </c>
      <c r="M104" s="17" t="s">
        <v>33</v>
      </c>
      <c r="N104" s="24">
        <v>7200</v>
      </c>
      <c r="O104" s="17">
        <v>3</v>
      </c>
      <c r="P104" s="25" t="s">
        <v>392</v>
      </c>
      <c r="Q104" s="17">
        <v>53.55</v>
      </c>
      <c r="R104" s="17">
        <v>4.32</v>
      </c>
      <c r="S104" s="17">
        <v>0.0074</v>
      </c>
      <c r="T104" s="17">
        <f t="shared" si="3"/>
        <v>53.28</v>
      </c>
      <c r="U104" s="31">
        <v>45174</v>
      </c>
      <c r="V104" s="25">
        <v>2331706</v>
      </c>
    </row>
    <row r="105" s="3" customFormat="1" ht="30" customHeight="1" spans="1:22">
      <c r="A105" s="16">
        <v>103</v>
      </c>
      <c r="B105" s="17" t="s">
        <v>23</v>
      </c>
      <c r="C105" s="17" t="s">
        <v>366</v>
      </c>
      <c r="D105" s="18">
        <v>5</v>
      </c>
      <c r="E105" s="17" t="s">
        <v>25</v>
      </c>
      <c r="F105" s="17" t="s">
        <v>390</v>
      </c>
      <c r="G105" s="19" t="s">
        <v>368</v>
      </c>
      <c r="H105" s="17" t="s">
        <v>391</v>
      </c>
      <c r="I105" s="25">
        <v>73269099</v>
      </c>
      <c r="J105" s="17" t="s">
        <v>341</v>
      </c>
      <c r="K105" s="17" t="s">
        <v>342</v>
      </c>
      <c r="L105" s="17" t="s">
        <v>32</v>
      </c>
      <c r="M105" s="17" t="s">
        <v>33</v>
      </c>
      <c r="N105" s="24">
        <v>77500</v>
      </c>
      <c r="O105" s="17">
        <v>0</v>
      </c>
      <c r="P105" s="25" t="s">
        <v>392</v>
      </c>
      <c r="Q105" s="17">
        <v>0</v>
      </c>
      <c r="R105" s="17">
        <v>46.5</v>
      </c>
      <c r="S105" s="17">
        <v>0.0074</v>
      </c>
      <c r="T105" s="17">
        <f t="shared" si="3"/>
        <v>573.5</v>
      </c>
      <c r="U105" s="31">
        <v>45189</v>
      </c>
      <c r="V105" s="25">
        <v>2331707</v>
      </c>
    </row>
    <row r="106" s="3" customFormat="1" ht="30" customHeight="1" spans="1:22">
      <c r="A106" s="16">
        <v>104</v>
      </c>
      <c r="B106" s="17" t="s">
        <v>23</v>
      </c>
      <c r="C106" s="17" t="s">
        <v>383</v>
      </c>
      <c r="D106" s="18">
        <v>5</v>
      </c>
      <c r="E106" s="17" t="s">
        <v>25</v>
      </c>
      <c r="F106" s="17" t="s">
        <v>390</v>
      </c>
      <c r="G106" s="19" t="s">
        <v>368</v>
      </c>
      <c r="H106" s="17" t="s">
        <v>391</v>
      </c>
      <c r="I106" s="25">
        <v>73269099</v>
      </c>
      <c r="J106" s="17" t="s">
        <v>341</v>
      </c>
      <c r="K106" s="17" t="s">
        <v>342</v>
      </c>
      <c r="L106" s="17" t="s">
        <v>32</v>
      </c>
      <c r="M106" s="17" t="s">
        <v>33</v>
      </c>
      <c r="N106" s="24">
        <v>1000</v>
      </c>
      <c r="O106" s="17">
        <v>0</v>
      </c>
      <c r="P106" s="25" t="s">
        <v>392</v>
      </c>
      <c r="Q106" s="17">
        <v>0</v>
      </c>
      <c r="R106" s="17">
        <v>0.6</v>
      </c>
      <c r="S106" s="17">
        <v>0.0074</v>
      </c>
      <c r="T106" s="17">
        <f t="shared" si="3"/>
        <v>7.4</v>
      </c>
      <c r="U106" s="31">
        <v>45174</v>
      </c>
      <c r="V106" s="25">
        <v>2331708</v>
      </c>
    </row>
    <row r="107" s="3" customFormat="1" ht="30" customHeight="1" spans="1:22">
      <c r="A107" s="16">
        <v>105</v>
      </c>
      <c r="B107" s="17" t="s">
        <v>23</v>
      </c>
      <c r="C107" s="17" t="s">
        <v>379</v>
      </c>
      <c r="D107" s="18">
        <v>7</v>
      </c>
      <c r="E107" s="17" t="s">
        <v>25</v>
      </c>
      <c r="F107" s="17" t="s">
        <v>393</v>
      </c>
      <c r="G107" s="19" t="s">
        <v>368</v>
      </c>
      <c r="H107" s="17" t="s">
        <v>394</v>
      </c>
      <c r="I107" s="25">
        <v>73269099</v>
      </c>
      <c r="J107" s="17" t="s">
        <v>341</v>
      </c>
      <c r="K107" s="17" t="s">
        <v>342</v>
      </c>
      <c r="L107" s="17" t="s">
        <v>32</v>
      </c>
      <c r="M107" s="17" t="s">
        <v>33</v>
      </c>
      <c r="N107" s="24">
        <v>41000</v>
      </c>
      <c r="O107" s="17">
        <v>2</v>
      </c>
      <c r="P107" s="25" t="s">
        <v>395</v>
      </c>
      <c r="Q107" s="17">
        <v>35.3</v>
      </c>
      <c r="R107" s="17">
        <v>34.44</v>
      </c>
      <c r="S107" s="17">
        <v>0.0151</v>
      </c>
      <c r="T107" s="17">
        <f t="shared" si="3"/>
        <v>619.1</v>
      </c>
      <c r="U107" s="31">
        <v>45174</v>
      </c>
      <c r="V107" s="25">
        <v>2331705</v>
      </c>
    </row>
    <row r="108" s="3" customFormat="1" ht="30" customHeight="1" spans="1:22">
      <c r="A108" s="16">
        <v>106</v>
      </c>
      <c r="B108" s="17" t="s">
        <v>23</v>
      </c>
      <c r="C108" s="17" t="s">
        <v>396</v>
      </c>
      <c r="D108" s="18">
        <v>2</v>
      </c>
      <c r="E108" s="17" t="s">
        <v>25</v>
      </c>
      <c r="F108" s="17" t="s">
        <v>397</v>
      </c>
      <c r="G108" s="19" t="s">
        <v>398</v>
      </c>
      <c r="H108" s="17" t="s">
        <v>399</v>
      </c>
      <c r="I108" s="25">
        <v>39211999</v>
      </c>
      <c r="J108" s="17" t="s">
        <v>39</v>
      </c>
      <c r="K108" s="17" t="s">
        <v>40</v>
      </c>
      <c r="L108" s="17" t="s">
        <v>32</v>
      </c>
      <c r="M108" s="17" t="s">
        <v>33</v>
      </c>
      <c r="N108" s="24">
        <v>5700</v>
      </c>
      <c r="O108" s="17">
        <v>2</v>
      </c>
      <c r="P108" s="25" t="s">
        <v>400</v>
      </c>
      <c r="Q108" s="17">
        <v>46.3</v>
      </c>
      <c r="R108" s="17">
        <v>30.78</v>
      </c>
      <c r="S108" s="17">
        <v>0.2494</v>
      </c>
      <c r="T108" s="17">
        <f t="shared" si="3"/>
        <v>1421.58</v>
      </c>
      <c r="U108" s="31">
        <v>45174</v>
      </c>
      <c r="V108" s="25">
        <v>2331541</v>
      </c>
    </row>
    <row r="109" s="3" customFormat="1" ht="30" customHeight="1" spans="1:22">
      <c r="A109" s="16">
        <v>107</v>
      </c>
      <c r="B109" s="17" t="s">
        <v>23</v>
      </c>
      <c r="C109" s="17" t="s">
        <v>396</v>
      </c>
      <c r="D109" s="18">
        <v>3</v>
      </c>
      <c r="E109" s="17" t="s">
        <v>25</v>
      </c>
      <c r="F109" s="17" t="s">
        <v>401</v>
      </c>
      <c r="G109" s="19" t="s">
        <v>398</v>
      </c>
      <c r="H109" s="17" t="s">
        <v>402</v>
      </c>
      <c r="I109" s="25">
        <v>39211999</v>
      </c>
      <c r="J109" s="17" t="s">
        <v>39</v>
      </c>
      <c r="K109" s="17" t="s">
        <v>40</v>
      </c>
      <c r="L109" s="17" t="s">
        <v>32</v>
      </c>
      <c r="M109" s="17" t="s">
        <v>33</v>
      </c>
      <c r="N109" s="24">
        <v>5700</v>
      </c>
      <c r="O109" s="17">
        <v>2</v>
      </c>
      <c r="P109" s="25" t="s">
        <v>403</v>
      </c>
      <c r="Q109" s="17">
        <v>32</v>
      </c>
      <c r="R109" s="17">
        <v>21.66</v>
      </c>
      <c r="S109" s="17">
        <v>0.1633</v>
      </c>
      <c r="T109" s="17">
        <f t="shared" si="3"/>
        <v>930.81</v>
      </c>
      <c r="U109" s="31">
        <v>45174</v>
      </c>
      <c r="V109" s="25">
        <v>2331510</v>
      </c>
    </row>
    <row r="110" s="3" customFormat="1" ht="30" customHeight="1" spans="1:22">
      <c r="A110" s="16">
        <v>108</v>
      </c>
      <c r="B110" s="17" t="s">
        <v>23</v>
      </c>
      <c r="C110" s="17" t="s">
        <v>404</v>
      </c>
      <c r="D110" s="18">
        <v>1</v>
      </c>
      <c r="E110" s="17" t="s">
        <v>25</v>
      </c>
      <c r="F110" s="17" t="s">
        <v>405</v>
      </c>
      <c r="G110" s="19" t="s">
        <v>406</v>
      </c>
      <c r="H110" s="17" t="s">
        <v>407</v>
      </c>
      <c r="I110" s="25">
        <v>39232199</v>
      </c>
      <c r="J110" s="17" t="s">
        <v>39</v>
      </c>
      <c r="K110" s="17" t="s">
        <v>40</v>
      </c>
      <c r="L110" s="17" t="s">
        <v>32</v>
      </c>
      <c r="M110" s="17" t="s">
        <v>33</v>
      </c>
      <c r="N110" s="24">
        <v>3900</v>
      </c>
      <c r="O110" s="17">
        <v>1</v>
      </c>
      <c r="P110" s="25" t="s">
        <v>408</v>
      </c>
      <c r="Q110" s="17">
        <v>18.8</v>
      </c>
      <c r="R110" s="17">
        <v>18.53</v>
      </c>
      <c r="S110" s="17">
        <v>0.0147</v>
      </c>
      <c r="T110" s="17">
        <f t="shared" si="3"/>
        <v>57.33</v>
      </c>
      <c r="U110" s="31">
        <v>45174</v>
      </c>
      <c r="V110" s="25">
        <v>2331709</v>
      </c>
    </row>
    <row r="111" s="3" customFormat="1" ht="30" customHeight="1" spans="1:22">
      <c r="A111" s="16">
        <v>109</v>
      </c>
      <c r="B111" s="17" t="s">
        <v>23</v>
      </c>
      <c r="C111" s="17" t="s">
        <v>404</v>
      </c>
      <c r="D111" s="18">
        <v>2</v>
      </c>
      <c r="E111" s="17" t="s">
        <v>25</v>
      </c>
      <c r="F111" s="17" t="s">
        <v>409</v>
      </c>
      <c r="G111" s="19" t="s">
        <v>406</v>
      </c>
      <c r="H111" s="17" t="s">
        <v>410</v>
      </c>
      <c r="I111" s="25">
        <v>39232199</v>
      </c>
      <c r="J111" s="17" t="s">
        <v>39</v>
      </c>
      <c r="K111" s="17" t="s">
        <v>40</v>
      </c>
      <c r="L111" s="17" t="s">
        <v>32</v>
      </c>
      <c r="M111" s="17" t="s">
        <v>33</v>
      </c>
      <c r="N111" s="24">
        <v>1300</v>
      </c>
      <c r="O111" s="17">
        <v>1</v>
      </c>
      <c r="P111" s="25" t="s">
        <v>411</v>
      </c>
      <c r="Q111" s="17">
        <v>7.49</v>
      </c>
      <c r="R111" s="17">
        <v>7.02</v>
      </c>
      <c r="S111" s="17">
        <v>0.0183</v>
      </c>
      <c r="T111" s="17">
        <f t="shared" si="3"/>
        <v>23.79</v>
      </c>
      <c r="U111" s="31">
        <v>45174</v>
      </c>
      <c r="V111" s="25">
        <v>2331710</v>
      </c>
    </row>
    <row r="112" s="3" customFormat="1" ht="30" customHeight="1" spans="1:22">
      <c r="A112" s="16">
        <v>110</v>
      </c>
      <c r="B112" s="17" t="s">
        <v>23</v>
      </c>
      <c r="C112" s="17" t="s">
        <v>404</v>
      </c>
      <c r="D112" s="18">
        <v>3</v>
      </c>
      <c r="E112" s="17" t="s">
        <v>25</v>
      </c>
      <c r="F112" s="17" t="s">
        <v>412</v>
      </c>
      <c r="G112" s="19" t="s">
        <v>406</v>
      </c>
      <c r="H112" s="17" t="s">
        <v>413</v>
      </c>
      <c r="I112" s="25">
        <v>39232199</v>
      </c>
      <c r="J112" s="17" t="s">
        <v>39</v>
      </c>
      <c r="K112" s="17" t="s">
        <v>40</v>
      </c>
      <c r="L112" s="17" t="s">
        <v>32</v>
      </c>
      <c r="M112" s="17" t="s">
        <v>33</v>
      </c>
      <c r="N112" s="24">
        <v>1200</v>
      </c>
      <c r="O112" s="17">
        <v>1</v>
      </c>
      <c r="P112" s="25" t="s">
        <v>414</v>
      </c>
      <c r="Q112" s="17">
        <v>5.5</v>
      </c>
      <c r="R112" s="17">
        <v>4.92</v>
      </c>
      <c r="S112" s="17">
        <v>0.0138</v>
      </c>
      <c r="T112" s="17">
        <f t="shared" si="3"/>
        <v>16.56</v>
      </c>
      <c r="U112" s="31">
        <v>45174</v>
      </c>
      <c r="V112" s="25">
        <v>2331711</v>
      </c>
    </row>
    <row r="113" s="3" customFormat="1" ht="30" customHeight="1" spans="1:22">
      <c r="A113" s="16">
        <v>111</v>
      </c>
      <c r="B113" s="17" t="s">
        <v>23</v>
      </c>
      <c r="C113" s="17" t="s">
        <v>415</v>
      </c>
      <c r="D113" s="18">
        <v>1</v>
      </c>
      <c r="E113" s="17" t="s">
        <v>25</v>
      </c>
      <c r="F113" s="17" t="s">
        <v>416</v>
      </c>
      <c r="G113" s="21" t="s">
        <v>417</v>
      </c>
      <c r="H113" s="17" t="s">
        <v>418</v>
      </c>
      <c r="I113" s="25">
        <v>39232199</v>
      </c>
      <c r="J113" s="17" t="s">
        <v>39</v>
      </c>
      <c r="K113" s="17" t="s">
        <v>40</v>
      </c>
      <c r="L113" s="17" t="s">
        <v>32</v>
      </c>
      <c r="M113" s="17" t="s">
        <v>33</v>
      </c>
      <c r="N113" s="24">
        <v>1600</v>
      </c>
      <c r="O113" s="17">
        <v>1</v>
      </c>
      <c r="P113" s="25" t="s">
        <v>419</v>
      </c>
      <c r="Q113" s="17">
        <v>2</v>
      </c>
      <c r="R113" s="17">
        <v>1.92</v>
      </c>
      <c r="S113" s="17">
        <v>0.0063</v>
      </c>
      <c r="T113" s="17">
        <f t="shared" si="3"/>
        <v>10.08</v>
      </c>
      <c r="U113" s="31">
        <v>45168</v>
      </c>
      <c r="V113" s="25">
        <v>2331546</v>
      </c>
    </row>
    <row r="114" s="3" customFormat="1" ht="30" customHeight="1" spans="1:22">
      <c r="A114" s="16">
        <v>112</v>
      </c>
      <c r="B114" s="17" t="s">
        <v>23</v>
      </c>
      <c r="C114" s="17" t="s">
        <v>404</v>
      </c>
      <c r="D114" s="18">
        <v>4</v>
      </c>
      <c r="E114" s="17" t="s">
        <v>25</v>
      </c>
      <c r="F114" s="17" t="s">
        <v>420</v>
      </c>
      <c r="G114" s="19" t="s">
        <v>406</v>
      </c>
      <c r="H114" s="17" t="s">
        <v>421</v>
      </c>
      <c r="I114" s="25">
        <v>39232199</v>
      </c>
      <c r="J114" s="17" t="s">
        <v>39</v>
      </c>
      <c r="K114" s="17" t="s">
        <v>40</v>
      </c>
      <c r="L114" s="17" t="s">
        <v>32</v>
      </c>
      <c r="M114" s="17" t="s">
        <v>33</v>
      </c>
      <c r="N114" s="24">
        <v>6500</v>
      </c>
      <c r="O114" s="17">
        <v>3</v>
      </c>
      <c r="P114" s="25" t="s">
        <v>422</v>
      </c>
      <c r="Q114" s="17">
        <v>63</v>
      </c>
      <c r="R114" s="17">
        <v>62.4</v>
      </c>
      <c r="S114" s="17">
        <v>0.0187</v>
      </c>
      <c r="T114" s="17">
        <f t="shared" si="3"/>
        <v>121.55</v>
      </c>
      <c r="U114" s="31">
        <v>45174</v>
      </c>
      <c r="V114" s="25">
        <v>2331712</v>
      </c>
    </row>
    <row r="115" s="3" customFormat="1" ht="30" customHeight="1" spans="1:22">
      <c r="A115" s="16">
        <v>113</v>
      </c>
      <c r="B115" s="17" t="s">
        <v>23</v>
      </c>
      <c r="C115" s="17" t="s">
        <v>323</v>
      </c>
      <c r="D115" s="18">
        <v>5</v>
      </c>
      <c r="E115" s="17" t="s">
        <v>25</v>
      </c>
      <c r="F115" s="17" t="s">
        <v>423</v>
      </c>
      <c r="G115" s="19" t="s">
        <v>320</v>
      </c>
      <c r="H115" s="17" t="s">
        <v>424</v>
      </c>
      <c r="I115" s="25">
        <v>39211999</v>
      </c>
      <c r="J115" s="17" t="s">
        <v>39</v>
      </c>
      <c r="K115" s="17" t="s">
        <v>40</v>
      </c>
      <c r="L115" s="17" t="s">
        <v>32</v>
      </c>
      <c r="M115" s="17" t="s">
        <v>33</v>
      </c>
      <c r="N115" s="24">
        <v>95</v>
      </c>
      <c r="O115" s="17">
        <v>2</v>
      </c>
      <c r="P115" s="25" t="s">
        <v>425</v>
      </c>
      <c r="Q115" s="17">
        <v>5.65</v>
      </c>
      <c r="R115" s="17">
        <v>4.03</v>
      </c>
      <c r="S115" s="17">
        <v>0.9557</v>
      </c>
      <c r="T115" s="17">
        <f t="shared" si="3"/>
        <v>90.7915</v>
      </c>
      <c r="U115" s="31">
        <v>45174</v>
      </c>
      <c r="V115" s="25">
        <v>2331451</v>
      </c>
    </row>
    <row r="116" s="3" customFormat="1" ht="30" customHeight="1" spans="1:22">
      <c r="A116" s="16">
        <v>114</v>
      </c>
      <c r="B116" s="17" t="s">
        <v>23</v>
      </c>
      <c r="C116" s="17" t="s">
        <v>323</v>
      </c>
      <c r="D116" s="18">
        <v>6</v>
      </c>
      <c r="E116" s="17" t="s">
        <v>25</v>
      </c>
      <c r="F116" s="17" t="s">
        <v>426</v>
      </c>
      <c r="G116" s="19" t="s">
        <v>320</v>
      </c>
      <c r="H116" s="17" t="s">
        <v>427</v>
      </c>
      <c r="I116" s="25">
        <v>39211999</v>
      </c>
      <c r="J116" s="17" t="s">
        <v>39</v>
      </c>
      <c r="K116" s="17" t="s">
        <v>40</v>
      </c>
      <c r="L116" s="17" t="s">
        <v>32</v>
      </c>
      <c r="M116" s="17" t="s">
        <v>33</v>
      </c>
      <c r="N116" s="24">
        <v>95</v>
      </c>
      <c r="O116" s="17">
        <v>2</v>
      </c>
      <c r="P116" s="25" t="s">
        <v>428</v>
      </c>
      <c r="Q116" s="17">
        <v>5.43</v>
      </c>
      <c r="R116" s="17">
        <v>4.12</v>
      </c>
      <c r="S116" s="17">
        <v>0.9557</v>
      </c>
      <c r="T116" s="17">
        <f t="shared" si="3"/>
        <v>90.7915</v>
      </c>
      <c r="U116" s="31">
        <v>45174</v>
      </c>
      <c r="V116" s="25">
        <v>2331452</v>
      </c>
    </row>
    <row r="117" s="3" customFormat="1" ht="30" customHeight="1" spans="1:22">
      <c r="A117" s="16">
        <v>115</v>
      </c>
      <c r="B117" s="17" t="s">
        <v>23</v>
      </c>
      <c r="C117" s="17" t="s">
        <v>429</v>
      </c>
      <c r="D117" s="18">
        <v>1</v>
      </c>
      <c r="E117" s="17" t="s">
        <v>25</v>
      </c>
      <c r="F117" s="17" t="s">
        <v>430</v>
      </c>
      <c r="G117" s="19" t="s">
        <v>431</v>
      </c>
      <c r="H117" s="17" t="s">
        <v>432</v>
      </c>
      <c r="I117" s="25">
        <v>48081000</v>
      </c>
      <c r="J117" s="17" t="s">
        <v>433</v>
      </c>
      <c r="K117" s="17" t="s">
        <v>434</v>
      </c>
      <c r="L117" s="17" t="s">
        <v>32</v>
      </c>
      <c r="M117" s="17" t="s">
        <v>33</v>
      </c>
      <c r="N117" s="24">
        <v>5000</v>
      </c>
      <c r="O117" s="17">
        <v>36</v>
      </c>
      <c r="P117" s="25" t="s">
        <v>435</v>
      </c>
      <c r="Q117" s="17">
        <v>159.3</v>
      </c>
      <c r="R117" s="17">
        <v>157.5</v>
      </c>
      <c r="S117" s="17">
        <v>0.0623</v>
      </c>
      <c r="T117" s="17">
        <f t="shared" si="3"/>
        <v>311.5</v>
      </c>
      <c r="U117" s="31">
        <v>45174</v>
      </c>
      <c r="V117" s="25">
        <v>2331386</v>
      </c>
    </row>
    <row r="118" s="3" customFormat="1" ht="30" customHeight="1" spans="1:22">
      <c r="A118" s="16">
        <v>116</v>
      </c>
      <c r="B118" s="17" t="s">
        <v>23</v>
      </c>
      <c r="C118" s="17" t="s">
        <v>429</v>
      </c>
      <c r="D118" s="18">
        <v>2</v>
      </c>
      <c r="E118" s="17" t="s">
        <v>25</v>
      </c>
      <c r="F118" s="17" t="s">
        <v>436</v>
      </c>
      <c r="G118" s="19" t="s">
        <v>431</v>
      </c>
      <c r="H118" s="17" t="s">
        <v>437</v>
      </c>
      <c r="I118" s="25">
        <v>48081000</v>
      </c>
      <c r="J118" s="17" t="s">
        <v>433</v>
      </c>
      <c r="K118" s="17" t="s">
        <v>434</v>
      </c>
      <c r="L118" s="17" t="s">
        <v>32</v>
      </c>
      <c r="M118" s="17" t="s">
        <v>33</v>
      </c>
      <c r="N118" s="24">
        <v>5000</v>
      </c>
      <c r="O118" s="17">
        <v>36</v>
      </c>
      <c r="P118" s="25" t="s">
        <v>438</v>
      </c>
      <c r="Q118" s="17">
        <v>153.2</v>
      </c>
      <c r="R118" s="17">
        <v>151.5</v>
      </c>
      <c r="S118" s="17">
        <v>0.0623</v>
      </c>
      <c r="T118" s="17">
        <f t="shared" si="3"/>
        <v>311.5</v>
      </c>
      <c r="U118" s="31">
        <v>45174</v>
      </c>
      <c r="V118" s="25">
        <v>2331387</v>
      </c>
    </row>
    <row r="119" s="3" customFormat="1" ht="30" customHeight="1" spans="1:22">
      <c r="A119" s="16">
        <v>117</v>
      </c>
      <c r="B119" s="17" t="s">
        <v>23</v>
      </c>
      <c r="C119" s="17" t="s">
        <v>439</v>
      </c>
      <c r="D119" s="18">
        <v>1</v>
      </c>
      <c r="E119" s="17" t="s">
        <v>25</v>
      </c>
      <c r="F119" s="17" t="s">
        <v>440</v>
      </c>
      <c r="G119" s="19" t="s">
        <v>441</v>
      </c>
      <c r="H119" s="17" t="s">
        <v>442</v>
      </c>
      <c r="I119" s="25">
        <v>49111090</v>
      </c>
      <c r="J119" s="17" t="s">
        <v>197</v>
      </c>
      <c r="K119" s="17" t="s">
        <v>198</v>
      </c>
      <c r="L119" s="17" t="s">
        <v>32</v>
      </c>
      <c r="M119" s="17" t="s">
        <v>33</v>
      </c>
      <c r="N119" s="24">
        <v>10000</v>
      </c>
      <c r="O119" s="17">
        <v>7</v>
      </c>
      <c r="P119" s="25" t="s">
        <v>443</v>
      </c>
      <c r="Q119" s="17">
        <v>46.91</v>
      </c>
      <c r="R119" s="17">
        <v>46.9</v>
      </c>
      <c r="S119" s="17">
        <v>0.0189</v>
      </c>
      <c r="T119" s="17">
        <f t="shared" si="3"/>
        <v>189</v>
      </c>
      <c r="U119" s="31">
        <v>45174</v>
      </c>
      <c r="V119" s="25">
        <v>2331863</v>
      </c>
    </row>
    <row r="120" s="3" customFormat="1" ht="30" customHeight="1" spans="1:22">
      <c r="A120" s="16">
        <v>118</v>
      </c>
      <c r="B120" s="17" t="s">
        <v>23</v>
      </c>
      <c r="C120" s="17" t="s">
        <v>444</v>
      </c>
      <c r="D120" s="18">
        <v>1</v>
      </c>
      <c r="E120" s="17" t="s">
        <v>25</v>
      </c>
      <c r="F120" s="17" t="s">
        <v>445</v>
      </c>
      <c r="G120" s="21" t="s">
        <v>446</v>
      </c>
      <c r="H120" s="17" t="s">
        <v>447</v>
      </c>
      <c r="I120" s="25">
        <v>48211090</v>
      </c>
      <c r="J120" s="17" t="s">
        <v>197</v>
      </c>
      <c r="K120" s="17" t="s">
        <v>198</v>
      </c>
      <c r="L120" s="17" t="s">
        <v>32</v>
      </c>
      <c r="M120" s="17" t="s">
        <v>33</v>
      </c>
      <c r="N120" s="24">
        <v>300</v>
      </c>
      <c r="O120" s="17">
        <v>1</v>
      </c>
      <c r="P120" s="25" t="s">
        <v>448</v>
      </c>
      <c r="Q120" s="17">
        <v>0.52</v>
      </c>
      <c r="R120" s="17">
        <v>0.03</v>
      </c>
      <c r="S120" s="17">
        <v>0.127</v>
      </c>
      <c r="T120" s="17">
        <f t="shared" si="3"/>
        <v>38.1</v>
      </c>
      <c r="U120" s="31">
        <v>45174</v>
      </c>
      <c r="V120" s="25">
        <v>2331493</v>
      </c>
    </row>
    <row r="121" s="3" customFormat="1" ht="30" customHeight="1" spans="1:22">
      <c r="A121" s="16">
        <v>119</v>
      </c>
      <c r="B121" s="17" t="s">
        <v>23</v>
      </c>
      <c r="C121" s="17" t="s">
        <v>54</v>
      </c>
      <c r="D121" s="18">
        <v>1</v>
      </c>
      <c r="E121" s="17" t="s">
        <v>25</v>
      </c>
      <c r="F121" s="17" t="s">
        <v>55</v>
      </c>
      <c r="G121" s="19" t="s">
        <v>56</v>
      </c>
      <c r="H121" s="17" t="s">
        <v>57</v>
      </c>
      <c r="I121" s="25">
        <v>85340030</v>
      </c>
      <c r="J121" s="17" t="s">
        <v>58</v>
      </c>
      <c r="K121" s="17" t="s">
        <v>59</v>
      </c>
      <c r="L121" s="17" t="s">
        <v>32</v>
      </c>
      <c r="M121" s="17" t="s">
        <v>33</v>
      </c>
      <c r="N121" s="24">
        <v>2700</v>
      </c>
      <c r="O121" s="17">
        <v>7</v>
      </c>
      <c r="P121" s="25" t="s">
        <v>449</v>
      </c>
      <c r="Q121" s="17">
        <v>123.44</v>
      </c>
      <c r="R121" s="17">
        <v>120.61</v>
      </c>
      <c r="S121" s="33">
        <v>1.0384</v>
      </c>
      <c r="T121" s="17">
        <f t="shared" si="3"/>
        <v>2803.68</v>
      </c>
      <c r="U121" s="31">
        <v>45174</v>
      </c>
      <c r="V121" s="25">
        <v>2332202</v>
      </c>
    </row>
    <row r="122" s="3" customFormat="1" ht="30" customHeight="1" spans="1:22">
      <c r="A122" s="16">
        <v>120</v>
      </c>
      <c r="B122" s="17" t="s">
        <v>23</v>
      </c>
      <c r="C122" s="17" t="s">
        <v>450</v>
      </c>
      <c r="D122" s="18">
        <v>4</v>
      </c>
      <c r="E122" s="17" t="s">
        <v>25</v>
      </c>
      <c r="F122" s="17" t="s">
        <v>451</v>
      </c>
      <c r="G122" s="19" t="s">
        <v>67</v>
      </c>
      <c r="H122" s="17" t="s">
        <v>452</v>
      </c>
      <c r="I122" s="25">
        <v>85332100</v>
      </c>
      <c r="J122" s="17" t="s">
        <v>69</v>
      </c>
      <c r="K122" s="17" t="s">
        <v>70</v>
      </c>
      <c r="L122" s="17" t="s">
        <v>32</v>
      </c>
      <c r="M122" s="17" t="s">
        <v>33</v>
      </c>
      <c r="N122" s="24">
        <v>20000</v>
      </c>
      <c r="O122" s="17">
        <v>1</v>
      </c>
      <c r="P122" s="25" t="s">
        <v>453</v>
      </c>
      <c r="Q122" s="17">
        <v>0.63</v>
      </c>
      <c r="R122" s="17">
        <v>0.01</v>
      </c>
      <c r="S122" s="33">
        <v>0.0107</v>
      </c>
      <c r="T122" s="17">
        <f t="shared" si="3"/>
        <v>214</v>
      </c>
      <c r="U122" s="31">
        <v>45198</v>
      </c>
      <c r="V122" s="25">
        <v>2332176</v>
      </c>
    </row>
    <row r="123" s="3" customFormat="1" ht="30" customHeight="1" spans="1:22">
      <c r="A123" s="16">
        <v>121</v>
      </c>
      <c r="B123" s="17" t="s">
        <v>23</v>
      </c>
      <c r="C123" s="17" t="s">
        <v>450</v>
      </c>
      <c r="D123" s="18">
        <v>5</v>
      </c>
      <c r="E123" s="17" t="s">
        <v>25</v>
      </c>
      <c r="F123" s="17" t="s">
        <v>451</v>
      </c>
      <c r="G123" s="19" t="s">
        <v>67</v>
      </c>
      <c r="H123" s="17" t="s">
        <v>452</v>
      </c>
      <c r="I123" s="25">
        <v>85332100</v>
      </c>
      <c r="J123" s="17" t="s">
        <v>69</v>
      </c>
      <c r="K123" s="17" t="s">
        <v>70</v>
      </c>
      <c r="L123" s="17" t="s">
        <v>32</v>
      </c>
      <c r="M123" s="17" t="s">
        <v>33</v>
      </c>
      <c r="N123" s="24">
        <v>20000</v>
      </c>
      <c r="O123" s="17">
        <v>0</v>
      </c>
      <c r="P123" s="25" t="s">
        <v>453</v>
      </c>
      <c r="Q123" s="17">
        <v>0</v>
      </c>
      <c r="R123" s="17">
        <v>0.01</v>
      </c>
      <c r="S123" s="33">
        <v>0.0107</v>
      </c>
      <c r="T123" s="17">
        <f t="shared" si="3"/>
        <v>214</v>
      </c>
      <c r="U123" s="31">
        <v>45198</v>
      </c>
      <c r="V123" s="25">
        <v>2332177</v>
      </c>
    </row>
    <row r="124" s="3" customFormat="1" ht="30" customHeight="1" spans="1:22">
      <c r="A124" s="16">
        <v>122</v>
      </c>
      <c r="B124" s="17" t="s">
        <v>23</v>
      </c>
      <c r="C124" s="17" t="s">
        <v>65</v>
      </c>
      <c r="D124" s="18">
        <v>24</v>
      </c>
      <c r="E124" s="17" t="s">
        <v>25</v>
      </c>
      <c r="F124" s="17" t="s">
        <v>454</v>
      </c>
      <c r="G124" s="19" t="s">
        <v>67</v>
      </c>
      <c r="H124" s="17" t="s">
        <v>455</v>
      </c>
      <c r="I124" s="25">
        <v>85332100</v>
      </c>
      <c r="J124" s="17" t="s">
        <v>69</v>
      </c>
      <c r="K124" s="17" t="s">
        <v>70</v>
      </c>
      <c r="L124" s="17" t="s">
        <v>32</v>
      </c>
      <c r="M124" s="17" t="s">
        <v>33</v>
      </c>
      <c r="N124" s="24">
        <v>10000</v>
      </c>
      <c r="O124" s="17">
        <v>1</v>
      </c>
      <c r="P124" s="25" t="s">
        <v>456</v>
      </c>
      <c r="Q124" s="17">
        <v>0.72</v>
      </c>
      <c r="R124" s="17">
        <v>0.01</v>
      </c>
      <c r="S124" s="33">
        <v>0.0107</v>
      </c>
      <c r="T124" s="17">
        <f t="shared" si="3"/>
        <v>107</v>
      </c>
      <c r="U124" s="31">
        <v>45198</v>
      </c>
      <c r="V124" s="25">
        <v>2332179</v>
      </c>
    </row>
    <row r="125" s="3" customFormat="1" ht="30" customHeight="1" spans="1:22">
      <c r="A125" s="16">
        <v>123</v>
      </c>
      <c r="B125" s="17" t="s">
        <v>23</v>
      </c>
      <c r="C125" s="17" t="s">
        <v>65</v>
      </c>
      <c r="D125" s="18">
        <v>24</v>
      </c>
      <c r="E125" s="17" t="s">
        <v>25</v>
      </c>
      <c r="F125" s="17" t="s">
        <v>454</v>
      </c>
      <c r="G125" s="19" t="s">
        <v>67</v>
      </c>
      <c r="H125" s="17" t="s">
        <v>455</v>
      </c>
      <c r="I125" s="25">
        <v>85332100</v>
      </c>
      <c r="J125" s="17" t="s">
        <v>69</v>
      </c>
      <c r="K125" s="17" t="s">
        <v>70</v>
      </c>
      <c r="L125" s="17" t="s">
        <v>32</v>
      </c>
      <c r="M125" s="17" t="s">
        <v>33</v>
      </c>
      <c r="N125" s="24">
        <v>20000</v>
      </c>
      <c r="O125" s="17">
        <v>0</v>
      </c>
      <c r="P125" s="25" t="s">
        <v>456</v>
      </c>
      <c r="Q125" s="17">
        <v>0</v>
      </c>
      <c r="R125" s="17">
        <v>0.01</v>
      </c>
      <c r="S125" s="33">
        <v>0.0107</v>
      </c>
      <c r="T125" s="17">
        <f t="shared" si="3"/>
        <v>214</v>
      </c>
      <c r="U125" s="31">
        <v>45198</v>
      </c>
      <c r="V125" s="25">
        <v>2332178</v>
      </c>
    </row>
    <row r="126" s="3" customFormat="1" ht="30" customHeight="1" spans="1:22">
      <c r="A126" s="16">
        <v>124</v>
      </c>
      <c r="B126" s="17" t="s">
        <v>23</v>
      </c>
      <c r="C126" s="17" t="s">
        <v>457</v>
      </c>
      <c r="D126" s="18">
        <v>1</v>
      </c>
      <c r="E126" s="17" t="s">
        <v>25</v>
      </c>
      <c r="F126" s="17" t="s">
        <v>458</v>
      </c>
      <c r="G126" s="19" t="s">
        <v>459</v>
      </c>
      <c r="H126" s="17" t="s">
        <v>460</v>
      </c>
      <c r="I126" s="25">
        <v>85045020</v>
      </c>
      <c r="J126" s="17" t="s">
        <v>461</v>
      </c>
      <c r="K126" s="17" t="s">
        <v>462</v>
      </c>
      <c r="L126" s="17" t="s">
        <v>32</v>
      </c>
      <c r="M126" s="17" t="s">
        <v>33</v>
      </c>
      <c r="N126" s="24">
        <v>78000</v>
      </c>
      <c r="O126" s="17">
        <v>3</v>
      </c>
      <c r="P126" s="25" t="s">
        <v>463</v>
      </c>
      <c r="Q126" s="17">
        <v>26.76</v>
      </c>
      <c r="R126" s="17">
        <v>17.94</v>
      </c>
      <c r="S126" s="33">
        <v>0.0141</v>
      </c>
      <c r="T126" s="17">
        <f t="shared" si="3"/>
        <v>1099.8</v>
      </c>
      <c r="U126" s="31">
        <v>45189</v>
      </c>
      <c r="V126" s="25">
        <v>2332201</v>
      </c>
    </row>
    <row r="127" s="3" customFormat="1" ht="30" customHeight="1" spans="1:22">
      <c r="A127" s="16">
        <v>125</v>
      </c>
      <c r="B127" s="17" t="s">
        <v>23</v>
      </c>
      <c r="C127" s="17" t="s">
        <v>464</v>
      </c>
      <c r="D127" s="18">
        <v>1</v>
      </c>
      <c r="E127" s="17" t="s">
        <v>25</v>
      </c>
      <c r="F127" s="17" t="s">
        <v>465</v>
      </c>
      <c r="G127" s="19" t="s">
        <v>466</v>
      </c>
      <c r="H127" s="17" t="s">
        <v>467</v>
      </c>
      <c r="I127" s="25">
        <v>39074000</v>
      </c>
      <c r="J127" s="17" t="s">
        <v>468</v>
      </c>
      <c r="K127" s="17" t="s">
        <v>469</v>
      </c>
      <c r="L127" s="17" t="s">
        <v>32</v>
      </c>
      <c r="M127" s="17" t="s">
        <v>344</v>
      </c>
      <c r="N127" s="24">
        <v>825</v>
      </c>
      <c r="O127" s="17">
        <v>33</v>
      </c>
      <c r="P127" s="25" t="s">
        <v>470</v>
      </c>
      <c r="Q127" s="17">
        <v>831.6</v>
      </c>
      <c r="R127" s="17">
        <v>825</v>
      </c>
      <c r="S127" s="33">
        <v>3.3616</v>
      </c>
      <c r="T127" s="17">
        <f t="shared" si="3"/>
        <v>2773.32</v>
      </c>
      <c r="U127" s="31">
        <v>45173</v>
      </c>
      <c r="V127" s="25">
        <v>2332108</v>
      </c>
    </row>
    <row r="128" s="3" customFormat="1" ht="30" customHeight="1" spans="1:22">
      <c r="A128" s="16">
        <v>126</v>
      </c>
      <c r="B128" s="17" t="s">
        <v>23</v>
      </c>
      <c r="C128" s="17" t="s">
        <v>346</v>
      </c>
      <c r="D128" s="18">
        <v>1</v>
      </c>
      <c r="E128" s="17" t="s">
        <v>25</v>
      </c>
      <c r="F128" s="17" t="s">
        <v>347</v>
      </c>
      <c r="G128" s="19" t="s">
        <v>348</v>
      </c>
      <c r="H128" s="17" t="s">
        <v>349</v>
      </c>
      <c r="I128" s="25">
        <v>39269099</v>
      </c>
      <c r="J128" s="17" t="s">
        <v>341</v>
      </c>
      <c r="K128" s="17" t="s">
        <v>342</v>
      </c>
      <c r="L128" s="17" t="s">
        <v>32</v>
      </c>
      <c r="M128" s="17" t="s">
        <v>33</v>
      </c>
      <c r="N128" s="24">
        <v>1500</v>
      </c>
      <c r="O128" s="17">
        <v>2</v>
      </c>
      <c r="P128" s="25" t="s">
        <v>471</v>
      </c>
      <c r="Q128" s="17">
        <v>13.88</v>
      </c>
      <c r="R128" s="17">
        <v>5.46</v>
      </c>
      <c r="S128" s="33">
        <v>0.5852</v>
      </c>
      <c r="T128" s="17">
        <f t="shared" si="3"/>
        <v>877.8</v>
      </c>
      <c r="U128" s="31">
        <v>45174</v>
      </c>
      <c r="V128" s="25">
        <v>2332147</v>
      </c>
    </row>
    <row r="129" s="3" customFormat="1" ht="30" customHeight="1" spans="1:22">
      <c r="A129" s="16">
        <v>127</v>
      </c>
      <c r="B129" s="17" t="s">
        <v>23</v>
      </c>
      <c r="C129" s="17" t="s">
        <v>346</v>
      </c>
      <c r="D129" s="18">
        <v>1</v>
      </c>
      <c r="E129" s="17" t="s">
        <v>25</v>
      </c>
      <c r="F129" s="17" t="s">
        <v>347</v>
      </c>
      <c r="G129" s="21" t="s">
        <v>348</v>
      </c>
      <c r="H129" s="17" t="s">
        <v>349</v>
      </c>
      <c r="I129" s="25">
        <v>39269099</v>
      </c>
      <c r="J129" s="17" t="s">
        <v>341</v>
      </c>
      <c r="K129" s="17" t="s">
        <v>342</v>
      </c>
      <c r="L129" s="17" t="s">
        <v>32</v>
      </c>
      <c r="M129" s="17" t="s">
        <v>33</v>
      </c>
      <c r="N129" s="24">
        <v>1400</v>
      </c>
      <c r="O129" s="17">
        <v>0</v>
      </c>
      <c r="P129" s="25" t="s">
        <v>471</v>
      </c>
      <c r="Q129" s="17">
        <v>0</v>
      </c>
      <c r="R129" s="17">
        <v>5.1</v>
      </c>
      <c r="S129" s="33">
        <v>0.5852</v>
      </c>
      <c r="T129" s="17">
        <f t="shared" si="3"/>
        <v>819.28</v>
      </c>
      <c r="U129" s="31">
        <v>45174</v>
      </c>
      <c r="V129" s="17">
        <v>2332148</v>
      </c>
    </row>
    <row r="130" s="3" customFormat="1" ht="30" customHeight="1" spans="1:22">
      <c r="A130" s="16">
        <v>128</v>
      </c>
      <c r="B130" s="17" t="s">
        <v>23</v>
      </c>
      <c r="C130" s="17" t="s">
        <v>472</v>
      </c>
      <c r="D130" s="18">
        <v>1</v>
      </c>
      <c r="E130" s="17" t="s">
        <v>25</v>
      </c>
      <c r="F130" s="17" t="s">
        <v>473</v>
      </c>
      <c r="G130" s="19" t="s">
        <v>474</v>
      </c>
      <c r="H130" s="17" t="s">
        <v>475</v>
      </c>
      <c r="I130" s="25">
        <v>40169999</v>
      </c>
      <c r="J130" s="17" t="s">
        <v>39</v>
      </c>
      <c r="K130" s="17" t="s">
        <v>40</v>
      </c>
      <c r="L130" s="17" t="s">
        <v>32</v>
      </c>
      <c r="M130" s="17" t="s">
        <v>33</v>
      </c>
      <c r="N130" s="24">
        <v>30900</v>
      </c>
      <c r="O130" s="17">
        <v>78</v>
      </c>
      <c r="P130" s="25" t="s">
        <v>476</v>
      </c>
      <c r="Q130" s="17">
        <v>322.18</v>
      </c>
      <c r="R130" s="17">
        <v>210.12</v>
      </c>
      <c r="S130" s="33">
        <v>0.5865</v>
      </c>
      <c r="T130" s="17">
        <f t="shared" si="3"/>
        <v>18122.85</v>
      </c>
      <c r="U130" s="31">
        <v>45194</v>
      </c>
      <c r="V130" s="25">
        <v>2332125</v>
      </c>
    </row>
    <row r="131" s="3" customFormat="1" ht="30" customHeight="1" spans="1:22">
      <c r="A131" s="16">
        <v>129</v>
      </c>
      <c r="B131" s="17" t="s">
        <v>23</v>
      </c>
      <c r="C131" s="17" t="s">
        <v>477</v>
      </c>
      <c r="D131" s="18">
        <v>1</v>
      </c>
      <c r="E131" s="17" t="s">
        <v>25</v>
      </c>
      <c r="F131" s="17" t="s">
        <v>478</v>
      </c>
      <c r="G131" s="19" t="s">
        <v>479</v>
      </c>
      <c r="H131" s="17" t="s">
        <v>480</v>
      </c>
      <c r="I131" s="25">
        <v>73269099</v>
      </c>
      <c r="J131" s="17" t="s">
        <v>341</v>
      </c>
      <c r="K131" s="17" t="s">
        <v>342</v>
      </c>
      <c r="L131" s="17" t="s">
        <v>32</v>
      </c>
      <c r="M131" s="17" t="s">
        <v>33</v>
      </c>
      <c r="N131" s="24">
        <v>66600</v>
      </c>
      <c r="O131" s="17">
        <v>34</v>
      </c>
      <c r="P131" s="25" t="s">
        <v>481</v>
      </c>
      <c r="Q131" s="17">
        <v>383.5</v>
      </c>
      <c r="R131" s="17">
        <v>352.98</v>
      </c>
      <c r="S131" s="33">
        <v>0.0605</v>
      </c>
      <c r="T131" s="17">
        <f t="shared" si="3"/>
        <v>4029.3</v>
      </c>
      <c r="U131" s="31">
        <v>45194</v>
      </c>
      <c r="V131" s="25">
        <v>2332166</v>
      </c>
    </row>
    <row r="132" s="3" customFormat="1" ht="30" customHeight="1" spans="1:227">
      <c r="A132" s="16">
        <v>130</v>
      </c>
      <c r="B132" s="17" t="s">
        <v>23</v>
      </c>
      <c r="C132" s="17" t="s">
        <v>482</v>
      </c>
      <c r="D132" s="18">
        <v>2</v>
      </c>
      <c r="E132" s="17" t="s">
        <v>25</v>
      </c>
      <c r="F132" s="17" t="s">
        <v>483</v>
      </c>
      <c r="G132" s="19" t="s">
        <v>67</v>
      </c>
      <c r="H132" s="17" t="s">
        <v>484</v>
      </c>
      <c r="I132" s="25">
        <v>85332100</v>
      </c>
      <c r="J132" s="17" t="s">
        <v>69</v>
      </c>
      <c r="K132" s="17" t="s">
        <v>70</v>
      </c>
      <c r="L132" s="17" t="s">
        <v>32</v>
      </c>
      <c r="M132" s="17" t="s">
        <v>33</v>
      </c>
      <c r="N132" s="25">
        <v>10000</v>
      </c>
      <c r="O132" s="17">
        <v>1</v>
      </c>
      <c r="P132" s="32" t="s">
        <v>485</v>
      </c>
      <c r="Q132" s="17">
        <v>0.5</v>
      </c>
      <c r="R132" s="17">
        <v>0.02</v>
      </c>
      <c r="S132" s="33">
        <v>0.0107</v>
      </c>
      <c r="T132" s="17">
        <f t="shared" ref="T132:T163" si="4">N132*S132</f>
        <v>107</v>
      </c>
      <c r="U132" s="31">
        <v>45187</v>
      </c>
      <c r="V132" s="25">
        <v>2332496</v>
      </c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</row>
    <row r="133" s="3" customFormat="1" ht="30" customHeight="1" spans="1:227">
      <c r="A133" s="16">
        <v>131</v>
      </c>
      <c r="B133" s="17" t="s">
        <v>23</v>
      </c>
      <c r="C133" s="17" t="s">
        <v>65</v>
      </c>
      <c r="D133" s="18">
        <v>12</v>
      </c>
      <c r="E133" s="17" t="s">
        <v>25</v>
      </c>
      <c r="F133" s="17" t="s">
        <v>486</v>
      </c>
      <c r="G133" s="19" t="s">
        <v>67</v>
      </c>
      <c r="H133" s="17" t="s">
        <v>487</v>
      </c>
      <c r="I133" s="25">
        <v>85332100</v>
      </c>
      <c r="J133" s="17" t="s">
        <v>69</v>
      </c>
      <c r="K133" s="17" t="s">
        <v>70</v>
      </c>
      <c r="L133" s="17" t="s">
        <v>32</v>
      </c>
      <c r="M133" s="17" t="s">
        <v>33</v>
      </c>
      <c r="N133" s="25">
        <v>20000</v>
      </c>
      <c r="O133" s="17">
        <v>1</v>
      </c>
      <c r="P133" s="32" t="s">
        <v>488</v>
      </c>
      <c r="Q133" s="17">
        <v>0.5</v>
      </c>
      <c r="R133" s="17">
        <v>0.01</v>
      </c>
      <c r="S133" s="33">
        <v>0.0107</v>
      </c>
      <c r="T133" s="17">
        <f t="shared" si="4"/>
        <v>214</v>
      </c>
      <c r="U133" s="31">
        <v>45187</v>
      </c>
      <c r="V133" s="25">
        <v>2332498</v>
      </c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</row>
    <row r="134" s="4" customFormat="1" ht="30" customHeight="1" spans="1:22">
      <c r="A134" s="16">
        <v>132</v>
      </c>
      <c r="B134" s="17" t="s">
        <v>23</v>
      </c>
      <c r="C134" s="17" t="s">
        <v>489</v>
      </c>
      <c r="D134" s="18">
        <v>3</v>
      </c>
      <c r="E134" s="17" t="s">
        <v>25</v>
      </c>
      <c r="F134" s="17" t="s">
        <v>490</v>
      </c>
      <c r="G134" s="19" t="s">
        <v>67</v>
      </c>
      <c r="H134" s="17" t="s">
        <v>491</v>
      </c>
      <c r="I134" s="25">
        <v>85332100</v>
      </c>
      <c r="J134" s="17" t="s">
        <v>69</v>
      </c>
      <c r="K134" s="17" t="s">
        <v>70</v>
      </c>
      <c r="L134" s="17" t="s">
        <v>32</v>
      </c>
      <c r="M134" s="17" t="s">
        <v>33</v>
      </c>
      <c r="N134" s="17">
        <v>5000</v>
      </c>
      <c r="O134" s="17">
        <v>1</v>
      </c>
      <c r="P134" s="32" t="s">
        <v>492</v>
      </c>
      <c r="Q134" s="17">
        <v>0.5</v>
      </c>
      <c r="R134" s="17">
        <v>0.01</v>
      </c>
      <c r="S134" s="33">
        <v>0.0117</v>
      </c>
      <c r="T134" s="17">
        <f t="shared" si="4"/>
        <v>58.5</v>
      </c>
      <c r="U134" s="31">
        <v>45187</v>
      </c>
      <c r="V134" s="25">
        <v>2332509</v>
      </c>
    </row>
    <row r="135" s="4" customFormat="1" ht="30" customHeight="1" spans="1:22">
      <c r="A135" s="16">
        <v>133</v>
      </c>
      <c r="B135" s="17" t="s">
        <v>23</v>
      </c>
      <c r="C135" s="17" t="s">
        <v>493</v>
      </c>
      <c r="D135" s="18">
        <v>3</v>
      </c>
      <c r="E135" s="17" t="s">
        <v>25</v>
      </c>
      <c r="F135" s="17" t="s">
        <v>494</v>
      </c>
      <c r="G135" s="19" t="s">
        <v>67</v>
      </c>
      <c r="H135" s="17" t="s">
        <v>495</v>
      </c>
      <c r="I135" s="25">
        <v>85332100</v>
      </c>
      <c r="J135" s="17" t="s">
        <v>69</v>
      </c>
      <c r="K135" s="17" t="s">
        <v>70</v>
      </c>
      <c r="L135" s="17" t="s">
        <v>32</v>
      </c>
      <c r="M135" s="17" t="s">
        <v>33</v>
      </c>
      <c r="N135" s="25">
        <v>15000</v>
      </c>
      <c r="O135" s="17">
        <v>1</v>
      </c>
      <c r="P135" s="32" t="s">
        <v>496</v>
      </c>
      <c r="Q135" s="17">
        <v>2</v>
      </c>
      <c r="R135" s="17">
        <v>0.03</v>
      </c>
      <c r="S135" s="33">
        <v>0.0117</v>
      </c>
      <c r="T135" s="17">
        <f t="shared" si="4"/>
        <v>175.5</v>
      </c>
      <c r="U135" s="31">
        <v>45187</v>
      </c>
      <c r="V135" s="25">
        <v>2332500</v>
      </c>
    </row>
    <row r="136" s="4" customFormat="1" ht="30" customHeight="1" spans="1:22">
      <c r="A136" s="16">
        <v>134</v>
      </c>
      <c r="B136" s="17" t="s">
        <v>23</v>
      </c>
      <c r="C136" s="17" t="s">
        <v>489</v>
      </c>
      <c r="D136" s="18">
        <v>4</v>
      </c>
      <c r="E136" s="17" t="s">
        <v>25</v>
      </c>
      <c r="F136" s="17" t="s">
        <v>494</v>
      </c>
      <c r="G136" s="19" t="s">
        <v>67</v>
      </c>
      <c r="H136" s="17" t="s">
        <v>495</v>
      </c>
      <c r="I136" s="25">
        <v>85332100</v>
      </c>
      <c r="J136" s="17" t="s">
        <v>69</v>
      </c>
      <c r="K136" s="17" t="s">
        <v>70</v>
      </c>
      <c r="L136" s="17" t="s">
        <v>32</v>
      </c>
      <c r="M136" s="17" t="s">
        <v>33</v>
      </c>
      <c r="N136" s="25">
        <v>20000</v>
      </c>
      <c r="O136" s="17">
        <v>0</v>
      </c>
      <c r="P136" s="32" t="s">
        <v>496</v>
      </c>
      <c r="Q136" s="17">
        <v>0</v>
      </c>
      <c r="R136" s="17">
        <v>0.03</v>
      </c>
      <c r="S136" s="33">
        <v>0.0117</v>
      </c>
      <c r="T136" s="17">
        <f t="shared" si="4"/>
        <v>234</v>
      </c>
      <c r="U136" s="31">
        <v>45187</v>
      </c>
      <c r="V136" s="25">
        <v>2332501</v>
      </c>
    </row>
    <row r="137" s="4" customFormat="1" ht="30" customHeight="1" spans="1:22">
      <c r="A137" s="16">
        <v>135</v>
      </c>
      <c r="B137" s="17" t="s">
        <v>23</v>
      </c>
      <c r="C137" s="17" t="s">
        <v>497</v>
      </c>
      <c r="D137" s="18">
        <v>9</v>
      </c>
      <c r="E137" s="17" t="s">
        <v>25</v>
      </c>
      <c r="F137" s="17" t="s">
        <v>494</v>
      </c>
      <c r="G137" s="19" t="s">
        <v>67</v>
      </c>
      <c r="H137" s="17" t="s">
        <v>495</v>
      </c>
      <c r="I137" s="25">
        <v>85332100</v>
      </c>
      <c r="J137" s="17" t="s">
        <v>69</v>
      </c>
      <c r="K137" s="17" t="s">
        <v>70</v>
      </c>
      <c r="L137" s="17" t="s">
        <v>32</v>
      </c>
      <c r="M137" s="17" t="s">
        <v>33</v>
      </c>
      <c r="N137" s="25">
        <v>5000</v>
      </c>
      <c r="O137" s="17">
        <v>0</v>
      </c>
      <c r="P137" s="32" t="s">
        <v>496</v>
      </c>
      <c r="Q137" s="17">
        <v>0</v>
      </c>
      <c r="R137" s="17">
        <v>0.01</v>
      </c>
      <c r="S137" s="33">
        <v>0.0117</v>
      </c>
      <c r="T137" s="17">
        <f t="shared" si="4"/>
        <v>58.5</v>
      </c>
      <c r="U137" s="31">
        <v>45187</v>
      </c>
      <c r="V137" s="25">
        <v>2332502</v>
      </c>
    </row>
    <row r="138" s="4" customFormat="1" ht="30" customHeight="1" spans="1:22">
      <c r="A138" s="16">
        <v>136</v>
      </c>
      <c r="B138" s="17" t="s">
        <v>23</v>
      </c>
      <c r="C138" s="17" t="s">
        <v>497</v>
      </c>
      <c r="D138" s="18">
        <v>10</v>
      </c>
      <c r="E138" s="17" t="s">
        <v>25</v>
      </c>
      <c r="F138" s="17" t="s">
        <v>494</v>
      </c>
      <c r="G138" s="19" t="s">
        <v>67</v>
      </c>
      <c r="H138" s="17" t="s">
        <v>495</v>
      </c>
      <c r="I138" s="25">
        <v>85332100</v>
      </c>
      <c r="J138" s="17" t="s">
        <v>69</v>
      </c>
      <c r="K138" s="17" t="s">
        <v>70</v>
      </c>
      <c r="L138" s="17" t="s">
        <v>32</v>
      </c>
      <c r="M138" s="17" t="s">
        <v>33</v>
      </c>
      <c r="N138" s="25">
        <v>25000</v>
      </c>
      <c r="O138" s="17">
        <v>0</v>
      </c>
      <c r="P138" s="32" t="s">
        <v>496</v>
      </c>
      <c r="Q138" s="17">
        <v>0</v>
      </c>
      <c r="R138" s="17">
        <v>0.04</v>
      </c>
      <c r="S138" s="33">
        <v>0.0117</v>
      </c>
      <c r="T138" s="17">
        <f t="shared" si="4"/>
        <v>292.5</v>
      </c>
      <c r="U138" s="31">
        <v>45187</v>
      </c>
      <c r="V138" s="25">
        <v>2332503</v>
      </c>
    </row>
    <row r="139" s="4" customFormat="1" ht="30" customHeight="1" spans="1:22">
      <c r="A139" s="16">
        <v>137</v>
      </c>
      <c r="B139" s="17" t="s">
        <v>23</v>
      </c>
      <c r="C139" s="17" t="s">
        <v>493</v>
      </c>
      <c r="D139" s="18">
        <v>4</v>
      </c>
      <c r="E139" s="17" t="s">
        <v>25</v>
      </c>
      <c r="F139" s="17" t="s">
        <v>498</v>
      </c>
      <c r="G139" s="19" t="s">
        <v>67</v>
      </c>
      <c r="H139" s="17" t="s">
        <v>499</v>
      </c>
      <c r="I139" s="25">
        <v>85332100</v>
      </c>
      <c r="J139" s="17" t="s">
        <v>69</v>
      </c>
      <c r="K139" s="17" t="s">
        <v>70</v>
      </c>
      <c r="L139" s="17" t="s">
        <v>32</v>
      </c>
      <c r="M139" s="17" t="s">
        <v>33</v>
      </c>
      <c r="N139" s="25">
        <v>5000</v>
      </c>
      <c r="O139" s="17">
        <v>1</v>
      </c>
      <c r="P139" s="32" t="s">
        <v>500</v>
      </c>
      <c r="Q139" s="17">
        <v>1</v>
      </c>
      <c r="R139" s="17">
        <v>0.01</v>
      </c>
      <c r="S139" s="33">
        <v>0.0117</v>
      </c>
      <c r="T139" s="17">
        <f t="shared" si="4"/>
        <v>58.5</v>
      </c>
      <c r="U139" s="31">
        <v>45187</v>
      </c>
      <c r="V139" s="25">
        <v>2332504</v>
      </c>
    </row>
    <row r="140" s="4" customFormat="1" ht="30" customHeight="1" spans="1:22">
      <c r="A140" s="16">
        <v>138</v>
      </c>
      <c r="B140" s="17" t="s">
        <v>23</v>
      </c>
      <c r="C140" s="17" t="s">
        <v>489</v>
      </c>
      <c r="D140" s="18">
        <v>5</v>
      </c>
      <c r="E140" s="17" t="s">
        <v>25</v>
      </c>
      <c r="F140" s="17" t="s">
        <v>498</v>
      </c>
      <c r="G140" s="19" t="s">
        <v>67</v>
      </c>
      <c r="H140" s="17" t="s">
        <v>499</v>
      </c>
      <c r="I140" s="25">
        <v>85332100</v>
      </c>
      <c r="J140" s="17" t="s">
        <v>69</v>
      </c>
      <c r="K140" s="17" t="s">
        <v>70</v>
      </c>
      <c r="L140" s="17" t="s">
        <v>32</v>
      </c>
      <c r="M140" s="17" t="s">
        <v>33</v>
      </c>
      <c r="N140" s="25">
        <v>10000</v>
      </c>
      <c r="O140" s="17">
        <v>0</v>
      </c>
      <c r="P140" s="32" t="s">
        <v>500</v>
      </c>
      <c r="Q140" s="17">
        <v>0</v>
      </c>
      <c r="R140" s="17">
        <v>0.02</v>
      </c>
      <c r="S140" s="33">
        <v>0.0117</v>
      </c>
      <c r="T140" s="17">
        <f t="shared" si="4"/>
        <v>117</v>
      </c>
      <c r="U140" s="31">
        <v>45187</v>
      </c>
      <c r="V140" s="25">
        <v>2332505</v>
      </c>
    </row>
    <row r="141" s="4" customFormat="1" ht="30" customHeight="1" spans="1:22">
      <c r="A141" s="16">
        <v>139</v>
      </c>
      <c r="B141" s="17" t="s">
        <v>23</v>
      </c>
      <c r="C141" s="17" t="s">
        <v>497</v>
      </c>
      <c r="D141" s="18">
        <v>12</v>
      </c>
      <c r="E141" s="17" t="s">
        <v>25</v>
      </c>
      <c r="F141" s="17" t="s">
        <v>498</v>
      </c>
      <c r="G141" s="19" t="s">
        <v>67</v>
      </c>
      <c r="H141" s="17" t="s">
        <v>499</v>
      </c>
      <c r="I141" s="25">
        <v>85332100</v>
      </c>
      <c r="J141" s="17" t="s">
        <v>69</v>
      </c>
      <c r="K141" s="17" t="s">
        <v>70</v>
      </c>
      <c r="L141" s="17" t="s">
        <v>32</v>
      </c>
      <c r="M141" s="17" t="s">
        <v>33</v>
      </c>
      <c r="N141" s="25">
        <v>10000</v>
      </c>
      <c r="O141" s="17">
        <v>0</v>
      </c>
      <c r="P141" s="32" t="s">
        <v>500</v>
      </c>
      <c r="Q141" s="17">
        <v>0</v>
      </c>
      <c r="R141" s="17">
        <v>0.02</v>
      </c>
      <c r="S141" s="33">
        <v>0.0117</v>
      </c>
      <c r="T141" s="17">
        <f t="shared" si="4"/>
        <v>117</v>
      </c>
      <c r="U141" s="31">
        <v>45187</v>
      </c>
      <c r="V141" s="25">
        <v>2332506</v>
      </c>
    </row>
    <row r="142" s="4" customFormat="1" ht="30" customHeight="1" spans="1:22">
      <c r="A142" s="16">
        <v>140</v>
      </c>
      <c r="B142" s="17" t="s">
        <v>23</v>
      </c>
      <c r="C142" s="17" t="s">
        <v>489</v>
      </c>
      <c r="D142" s="18">
        <v>6</v>
      </c>
      <c r="E142" s="17" t="s">
        <v>25</v>
      </c>
      <c r="F142" s="17" t="s">
        <v>501</v>
      </c>
      <c r="G142" s="19" t="s">
        <v>67</v>
      </c>
      <c r="H142" s="17" t="s">
        <v>502</v>
      </c>
      <c r="I142" s="25">
        <v>85332100</v>
      </c>
      <c r="J142" s="17" t="s">
        <v>69</v>
      </c>
      <c r="K142" s="17" t="s">
        <v>70</v>
      </c>
      <c r="L142" s="17" t="s">
        <v>32</v>
      </c>
      <c r="M142" s="17" t="s">
        <v>33</v>
      </c>
      <c r="N142" s="25">
        <v>10000</v>
      </c>
      <c r="O142" s="17">
        <v>1</v>
      </c>
      <c r="P142" s="32" t="s">
        <v>503</v>
      </c>
      <c r="Q142" s="17">
        <v>0.5</v>
      </c>
      <c r="R142" s="17">
        <v>0.01</v>
      </c>
      <c r="S142" s="33">
        <v>0.0107</v>
      </c>
      <c r="T142" s="17">
        <f t="shared" si="4"/>
        <v>107</v>
      </c>
      <c r="U142" s="31">
        <v>45187</v>
      </c>
      <c r="V142" s="25">
        <v>2332495</v>
      </c>
    </row>
    <row r="143" s="4" customFormat="1" ht="30" customHeight="1" spans="1:22">
      <c r="A143" s="16">
        <v>141</v>
      </c>
      <c r="B143" s="17" t="s">
        <v>23</v>
      </c>
      <c r="C143" s="17" t="s">
        <v>489</v>
      </c>
      <c r="D143" s="18">
        <v>7</v>
      </c>
      <c r="E143" s="17" t="s">
        <v>25</v>
      </c>
      <c r="F143" s="17" t="s">
        <v>504</v>
      </c>
      <c r="G143" s="19" t="s">
        <v>67</v>
      </c>
      <c r="H143" s="17" t="s">
        <v>505</v>
      </c>
      <c r="I143" s="25">
        <v>85332100</v>
      </c>
      <c r="J143" s="17" t="s">
        <v>69</v>
      </c>
      <c r="K143" s="17" t="s">
        <v>70</v>
      </c>
      <c r="L143" s="17" t="s">
        <v>32</v>
      </c>
      <c r="M143" s="17" t="s">
        <v>33</v>
      </c>
      <c r="N143" s="25">
        <v>5000</v>
      </c>
      <c r="O143" s="17">
        <v>1</v>
      </c>
      <c r="P143" s="32" t="s">
        <v>506</v>
      </c>
      <c r="Q143" s="17">
        <v>0.5</v>
      </c>
      <c r="R143" s="17">
        <v>0.01</v>
      </c>
      <c r="S143" s="33">
        <v>0.0117</v>
      </c>
      <c r="T143" s="17">
        <f t="shared" si="4"/>
        <v>58.5</v>
      </c>
      <c r="U143" s="31">
        <v>45187</v>
      </c>
      <c r="V143" s="25">
        <v>2332507</v>
      </c>
    </row>
    <row r="144" s="4" customFormat="1" ht="30" customHeight="1" spans="1:22">
      <c r="A144" s="16">
        <v>142</v>
      </c>
      <c r="B144" s="17" t="s">
        <v>23</v>
      </c>
      <c r="C144" s="17" t="s">
        <v>493</v>
      </c>
      <c r="D144" s="18">
        <v>5</v>
      </c>
      <c r="E144" s="17" t="s">
        <v>25</v>
      </c>
      <c r="F144" s="17" t="s">
        <v>507</v>
      </c>
      <c r="G144" s="19" t="s">
        <v>67</v>
      </c>
      <c r="H144" s="17" t="s">
        <v>508</v>
      </c>
      <c r="I144" s="25">
        <v>85332100</v>
      </c>
      <c r="J144" s="17" t="s">
        <v>69</v>
      </c>
      <c r="K144" s="17" t="s">
        <v>70</v>
      </c>
      <c r="L144" s="17" t="s">
        <v>32</v>
      </c>
      <c r="M144" s="17" t="s">
        <v>33</v>
      </c>
      <c r="N144" s="25">
        <v>5000</v>
      </c>
      <c r="O144" s="17">
        <v>1</v>
      </c>
      <c r="P144" s="32" t="s">
        <v>509</v>
      </c>
      <c r="Q144" s="17">
        <v>0.5</v>
      </c>
      <c r="R144" s="17">
        <v>0.01</v>
      </c>
      <c r="S144" s="33">
        <v>0.0117</v>
      </c>
      <c r="T144" s="17">
        <f t="shared" si="4"/>
        <v>58.5</v>
      </c>
      <c r="U144" s="31">
        <v>45187</v>
      </c>
      <c r="V144" s="25">
        <v>2332508</v>
      </c>
    </row>
    <row r="145" s="4" customFormat="1" ht="30" customHeight="1" spans="1:22">
      <c r="A145" s="16">
        <v>143</v>
      </c>
      <c r="B145" s="17" t="s">
        <v>23</v>
      </c>
      <c r="C145" s="17" t="s">
        <v>450</v>
      </c>
      <c r="D145" s="18">
        <v>32</v>
      </c>
      <c r="E145" s="17" t="s">
        <v>25</v>
      </c>
      <c r="F145" s="17" t="s">
        <v>510</v>
      </c>
      <c r="G145" s="19" t="s">
        <v>67</v>
      </c>
      <c r="H145" s="17" t="s">
        <v>511</v>
      </c>
      <c r="I145" s="25">
        <v>85332100</v>
      </c>
      <c r="J145" s="17" t="s">
        <v>69</v>
      </c>
      <c r="K145" s="17" t="s">
        <v>70</v>
      </c>
      <c r="L145" s="17" t="s">
        <v>32</v>
      </c>
      <c r="M145" s="17" t="s">
        <v>33</v>
      </c>
      <c r="N145" s="25">
        <v>20000</v>
      </c>
      <c r="O145" s="17">
        <v>1</v>
      </c>
      <c r="P145" s="32" t="s">
        <v>512</v>
      </c>
      <c r="Q145" s="17">
        <v>0.5</v>
      </c>
      <c r="R145" s="17">
        <v>0.14</v>
      </c>
      <c r="S145" s="33">
        <v>0.0107</v>
      </c>
      <c r="T145" s="17">
        <f t="shared" si="4"/>
        <v>214</v>
      </c>
      <c r="U145" s="31">
        <v>45187</v>
      </c>
      <c r="V145" s="25">
        <v>2332497</v>
      </c>
    </row>
    <row r="146" s="4" customFormat="1" ht="30" customHeight="1" spans="1:22">
      <c r="A146" s="16">
        <v>144</v>
      </c>
      <c r="B146" s="17" t="s">
        <v>23</v>
      </c>
      <c r="C146" s="17" t="s">
        <v>65</v>
      </c>
      <c r="D146" s="18">
        <v>43</v>
      </c>
      <c r="E146" s="17" t="s">
        <v>25</v>
      </c>
      <c r="F146" s="17" t="s">
        <v>513</v>
      </c>
      <c r="G146" s="19" t="s">
        <v>67</v>
      </c>
      <c r="H146" s="17" t="s">
        <v>514</v>
      </c>
      <c r="I146" s="25">
        <v>85332100</v>
      </c>
      <c r="J146" s="17" t="s">
        <v>69</v>
      </c>
      <c r="K146" s="17" t="s">
        <v>70</v>
      </c>
      <c r="L146" s="17" t="s">
        <v>32</v>
      </c>
      <c r="M146" s="17" t="s">
        <v>33</v>
      </c>
      <c r="N146" s="25">
        <v>40000</v>
      </c>
      <c r="O146" s="17">
        <v>1</v>
      </c>
      <c r="P146" s="32" t="s">
        <v>515</v>
      </c>
      <c r="Q146" s="17">
        <v>1</v>
      </c>
      <c r="R146" s="17">
        <v>0.03</v>
      </c>
      <c r="S146" s="33">
        <v>0.0107</v>
      </c>
      <c r="T146" s="17">
        <f t="shared" si="4"/>
        <v>428</v>
      </c>
      <c r="U146" s="31">
        <v>45187</v>
      </c>
      <c r="V146" s="25">
        <v>2332499</v>
      </c>
    </row>
    <row r="147" s="4" customFormat="1" ht="30" customHeight="1" spans="1:22">
      <c r="A147" s="16">
        <v>145</v>
      </c>
      <c r="B147" s="17" t="s">
        <v>23</v>
      </c>
      <c r="C147" s="17" t="s">
        <v>516</v>
      </c>
      <c r="D147" s="18">
        <v>1</v>
      </c>
      <c r="E147" s="17" t="s">
        <v>25</v>
      </c>
      <c r="F147" s="17" t="s">
        <v>517</v>
      </c>
      <c r="G147" s="19" t="s">
        <v>518</v>
      </c>
      <c r="H147" s="17" t="s">
        <v>519</v>
      </c>
      <c r="I147" s="25">
        <v>85414010</v>
      </c>
      <c r="J147" s="17" t="s">
        <v>520</v>
      </c>
      <c r="K147" s="17" t="s">
        <v>521</v>
      </c>
      <c r="L147" s="17" t="s">
        <v>32</v>
      </c>
      <c r="M147" s="17" t="s">
        <v>33</v>
      </c>
      <c r="N147" s="24">
        <v>30000</v>
      </c>
      <c r="O147" s="17">
        <v>1</v>
      </c>
      <c r="P147" s="25" t="s">
        <v>522</v>
      </c>
      <c r="Q147" s="17">
        <v>6.2</v>
      </c>
      <c r="R147" s="17">
        <v>4.5</v>
      </c>
      <c r="S147" s="17">
        <v>0.0154</v>
      </c>
      <c r="T147" s="17">
        <f t="shared" si="4"/>
        <v>462</v>
      </c>
      <c r="U147" s="31">
        <v>45174</v>
      </c>
      <c r="V147" s="25">
        <v>2332213</v>
      </c>
    </row>
    <row r="148" s="4" customFormat="1" ht="30" customHeight="1" spans="1:22">
      <c r="A148" s="16">
        <v>146</v>
      </c>
      <c r="B148" s="17" t="s">
        <v>23</v>
      </c>
      <c r="C148" s="17" t="s">
        <v>523</v>
      </c>
      <c r="D148" s="18">
        <v>1</v>
      </c>
      <c r="E148" s="17" t="s">
        <v>25</v>
      </c>
      <c r="F148" s="17" t="s">
        <v>524</v>
      </c>
      <c r="G148" s="19" t="s">
        <v>518</v>
      </c>
      <c r="H148" s="17" t="s">
        <v>525</v>
      </c>
      <c r="I148" s="25">
        <v>85414010</v>
      </c>
      <c r="J148" s="17" t="s">
        <v>520</v>
      </c>
      <c r="K148" s="17" t="s">
        <v>521</v>
      </c>
      <c r="L148" s="17" t="s">
        <v>32</v>
      </c>
      <c r="M148" s="17" t="s">
        <v>33</v>
      </c>
      <c r="N148" s="24">
        <v>55000</v>
      </c>
      <c r="O148" s="17">
        <v>2</v>
      </c>
      <c r="P148" s="25" t="s">
        <v>526</v>
      </c>
      <c r="Q148" s="17">
        <v>14.85</v>
      </c>
      <c r="R148" s="17">
        <v>11</v>
      </c>
      <c r="S148" s="17">
        <v>0.0086</v>
      </c>
      <c r="T148" s="17">
        <f t="shared" si="4"/>
        <v>473</v>
      </c>
      <c r="U148" s="31">
        <v>45188</v>
      </c>
      <c r="V148" s="25">
        <v>2332401</v>
      </c>
    </row>
    <row r="149" s="4" customFormat="1" ht="30" customHeight="1" spans="1:22">
      <c r="A149" s="16">
        <v>147</v>
      </c>
      <c r="B149" s="17" t="s">
        <v>23</v>
      </c>
      <c r="C149" s="17" t="s">
        <v>523</v>
      </c>
      <c r="D149" s="18">
        <v>2</v>
      </c>
      <c r="E149" s="17" t="s">
        <v>25</v>
      </c>
      <c r="F149" s="17" t="s">
        <v>527</v>
      </c>
      <c r="G149" s="19" t="s">
        <v>518</v>
      </c>
      <c r="H149" s="17" t="s">
        <v>528</v>
      </c>
      <c r="I149" s="25">
        <v>85414010</v>
      </c>
      <c r="J149" s="17" t="s">
        <v>520</v>
      </c>
      <c r="K149" s="17" t="s">
        <v>521</v>
      </c>
      <c r="L149" s="17" t="s">
        <v>32</v>
      </c>
      <c r="M149" s="17" t="s">
        <v>33</v>
      </c>
      <c r="N149" s="24">
        <v>54000</v>
      </c>
      <c r="O149" s="17">
        <v>2</v>
      </c>
      <c r="P149" s="25" t="s">
        <v>529</v>
      </c>
      <c r="Q149" s="17">
        <v>14.77</v>
      </c>
      <c r="R149" s="17">
        <v>10.8</v>
      </c>
      <c r="S149" s="17">
        <v>0.0311</v>
      </c>
      <c r="T149" s="17">
        <f t="shared" si="4"/>
        <v>1679.4</v>
      </c>
      <c r="U149" s="31">
        <v>45188</v>
      </c>
      <c r="V149" s="25">
        <v>2332399</v>
      </c>
    </row>
    <row r="150" s="4" customFormat="1" ht="30" customHeight="1" spans="1:22">
      <c r="A150" s="16">
        <v>148</v>
      </c>
      <c r="B150" s="17" t="s">
        <v>23</v>
      </c>
      <c r="C150" s="17" t="s">
        <v>523</v>
      </c>
      <c r="D150" s="18">
        <v>3</v>
      </c>
      <c r="E150" s="17" t="s">
        <v>25</v>
      </c>
      <c r="F150" s="17" t="s">
        <v>530</v>
      </c>
      <c r="G150" s="19" t="s">
        <v>518</v>
      </c>
      <c r="H150" s="17" t="s">
        <v>531</v>
      </c>
      <c r="I150" s="25">
        <v>85414010</v>
      </c>
      <c r="J150" s="17" t="s">
        <v>520</v>
      </c>
      <c r="K150" s="17" t="s">
        <v>521</v>
      </c>
      <c r="L150" s="17" t="s">
        <v>32</v>
      </c>
      <c r="M150" s="17" t="s">
        <v>33</v>
      </c>
      <c r="N150" s="24">
        <v>54000</v>
      </c>
      <c r="O150" s="17">
        <v>2</v>
      </c>
      <c r="P150" s="25" t="s">
        <v>532</v>
      </c>
      <c r="Q150" s="17">
        <v>14.19</v>
      </c>
      <c r="R150" s="17">
        <v>10.8</v>
      </c>
      <c r="S150" s="17">
        <v>0.0269</v>
      </c>
      <c r="T150" s="17">
        <f t="shared" si="4"/>
        <v>1452.6</v>
      </c>
      <c r="U150" s="31">
        <v>45188</v>
      </c>
      <c r="V150" s="25">
        <v>2332400</v>
      </c>
    </row>
    <row r="151" s="4" customFormat="1" ht="30" customHeight="1" spans="1:22">
      <c r="A151" s="16">
        <v>149</v>
      </c>
      <c r="B151" s="17" t="s">
        <v>23</v>
      </c>
      <c r="C151" s="17" t="s">
        <v>516</v>
      </c>
      <c r="D151" s="18">
        <v>2</v>
      </c>
      <c r="E151" s="17" t="s">
        <v>25</v>
      </c>
      <c r="F151" s="17" t="s">
        <v>533</v>
      </c>
      <c r="G151" s="19" t="s">
        <v>518</v>
      </c>
      <c r="H151" s="17" t="s">
        <v>534</v>
      </c>
      <c r="I151" s="25">
        <v>85414010</v>
      </c>
      <c r="J151" s="17" t="s">
        <v>520</v>
      </c>
      <c r="K151" s="17" t="s">
        <v>521</v>
      </c>
      <c r="L151" s="17" t="s">
        <v>32</v>
      </c>
      <c r="M151" s="17" t="s">
        <v>33</v>
      </c>
      <c r="N151" s="24">
        <v>44000</v>
      </c>
      <c r="O151" s="17">
        <v>2</v>
      </c>
      <c r="P151" s="25" t="s">
        <v>535</v>
      </c>
      <c r="Q151" s="17">
        <v>3.05</v>
      </c>
      <c r="R151" s="17">
        <v>0.44</v>
      </c>
      <c r="S151" s="17">
        <v>0.0341</v>
      </c>
      <c r="T151" s="17">
        <f t="shared" si="4"/>
        <v>1500.4</v>
      </c>
      <c r="U151" s="31">
        <v>45174</v>
      </c>
      <c r="V151" s="25">
        <v>2332211</v>
      </c>
    </row>
    <row r="152" s="4" customFormat="1" ht="30" customHeight="1" spans="1:22">
      <c r="A152" s="16">
        <v>150</v>
      </c>
      <c r="B152" s="17" t="s">
        <v>23</v>
      </c>
      <c r="C152" s="17" t="s">
        <v>536</v>
      </c>
      <c r="D152" s="18">
        <v>1</v>
      </c>
      <c r="E152" s="17" t="s">
        <v>25</v>
      </c>
      <c r="F152" s="17" t="s">
        <v>533</v>
      </c>
      <c r="G152" s="19" t="s">
        <v>518</v>
      </c>
      <c r="H152" s="17" t="s">
        <v>534</v>
      </c>
      <c r="I152" s="25">
        <v>85414010</v>
      </c>
      <c r="J152" s="17" t="s">
        <v>520</v>
      </c>
      <c r="K152" s="17" t="s">
        <v>521</v>
      </c>
      <c r="L152" s="17" t="s">
        <v>32</v>
      </c>
      <c r="M152" s="17" t="s">
        <v>33</v>
      </c>
      <c r="N152" s="24">
        <v>40000</v>
      </c>
      <c r="O152" s="17">
        <v>0</v>
      </c>
      <c r="P152" s="25" t="s">
        <v>535</v>
      </c>
      <c r="Q152" s="17">
        <v>0</v>
      </c>
      <c r="R152" s="17">
        <v>0.4</v>
      </c>
      <c r="S152" s="17">
        <v>0.0341</v>
      </c>
      <c r="T152" s="17">
        <f t="shared" si="4"/>
        <v>1364</v>
      </c>
      <c r="U152" s="31">
        <v>45196</v>
      </c>
      <c r="V152" s="25">
        <v>2332212</v>
      </c>
    </row>
    <row r="153" s="4" customFormat="1" ht="30" customHeight="1" spans="1:22">
      <c r="A153" s="16">
        <v>151</v>
      </c>
      <c r="B153" s="17" t="s">
        <v>23</v>
      </c>
      <c r="C153" s="17" t="s">
        <v>537</v>
      </c>
      <c r="D153" s="18">
        <v>1</v>
      </c>
      <c r="E153" s="17" t="s">
        <v>25</v>
      </c>
      <c r="F153" s="17" t="s">
        <v>538</v>
      </c>
      <c r="G153" s="19" t="s">
        <v>518</v>
      </c>
      <c r="H153" s="17" t="s">
        <v>539</v>
      </c>
      <c r="I153" s="25">
        <v>85414010</v>
      </c>
      <c r="J153" s="17" t="s">
        <v>520</v>
      </c>
      <c r="K153" s="17" t="s">
        <v>521</v>
      </c>
      <c r="L153" s="17" t="s">
        <v>32</v>
      </c>
      <c r="M153" s="17" t="s">
        <v>33</v>
      </c>
      <c r="N153" s="24">
        <v>54000</v>
      </c>
      <c r="O153" s="17">
        <v>1</v>
      </c>
      <c r="P153" s="25" t="s">
        <v>540</v>
      </c>
      <c r="Q153" s="17">
        <v>14.29</v>
      </c>
      <c r="R153" s="17">
        <v>11.34</v>
      </c>
      <c r="S153" s="17">
        <v>0.0274</v>
      </c>
      <c r="T153" s="17">
        <f t="shared" si="4"/>
        <v>1479.6</v>
      </c>
      <c r="U153" s="31">
        <v>45188</v>
      </c>
      <c r="V153" s="25">
        <v>2332402</v>
      </c>
    </row>
    <row r="154" s="5" customFormat="1" ht="30" customHeight="1" spans="1:22">
      <c r="A154" s="16">
        <v>152</v>
      </c>
      <c r="B154" s="35" t="s">
        <v>23</v>
      </c>
      <c r="C154" s="35" t="s">
        <v>541</v>
      </c>
      <c r="D154" s="36">
        <v>1</v>
      </c>
      <c r="E154" s="35" t="s">
        <v>25</v>
      </c>
      <c r="F154" s="35" t="s">
        <v>542</v>
      </c>
      <c r="G154" s="22" t="s">
        <v>543</v>
      </c>
      <c r="H154" s="35" t="s">
        <v>544</v>
      </c>
      <c r="I154" s="39">
        <v>85365033</v>
      </c>
      <c r="J154" s="35" t="s">
        <v>230</v>
      </c>
      <c r="K154" s="35" t="s">
        <v>231</v>
      </c>
      <c r="L154" s="17" t="s">
        <v>153</v>
      </c>
      <c r="M154" s="35" t="s">
        <v>33</v>
      </c>
      <c r="N154" s="24">
        <v>4800</v>
      </c>
      <c r="O154" s="17">
        <v>6</v>
      </c>
      <c r="P154" s="25" t="s">
        <v>545</v>
      </c>
      <c r="Q154" s="17">
        <v>21.47</v>
      </c>
      <c r="R154" s="17">
        <v>8.64</v>
      </c>
      <c r="S154" s="17">
        <v>0.26</v>
      </c>
      <c r="T154" s="17">
        <f t="shared" si="4"/>
        <v>1248</v>
      </c>
      <c r="U154" s="40">
        <v>45174</v>
      </c>
      <c r="V154" s="39">
        <v>2332443</v>
      </c>
    </row>
    <row r="155" s="5" customFormat="1" ht="30" customHeight="1" spans="1:22">
      <c r="A155" s="16">
        <v>153</v>
      </c>
      <c r="B155" s="35" t="s">
        <v>23</v>
      </c>
      <c r="C155" s="35" t="s">
        <v>541</v>
      </c>
      <c r="D155" s="36">
        <v>1</v>
      </c>
      <c r="E155" s="35" t="s">
        <v>25</v>
      </c>
      <c r="F155" s="35" t="s">
        <v>542</v>
      </c>
      <c r="G155" s="22" t="s">
        <v>543</v>
      </c>
      <c r="H155" s="35" t="s">
        <v>544</v>
      </c>
      <c r="I155" s="39">
        <v>85365033</v>
      </c>
      <c r="J155" s="35" t="s">
        <v>230</v>
      </c>
      <c r="K155" s="35" t="s">
        <v>231</v>
      </c>
      <c r="L155" s="17" t="s">
        <v>153</v>
      </c>
      <c r="M155" s="35" t="s">
        <v>33</v>
      </c>
      <c r="N155" s="24">
        <v>1000</v>
      </c>
      <c r="O155" s="17">
        <v>0</v>
      </c>
      <c r="P155" s="25" t="s">
        <v>545</v>
      </c>
      <c r="Q155" s="17">
        <v>0</v>
      </c>
      <c r="R155" s="17">
        <v>1.8</v>
      </c>
      <c r="S155" s="17">
        <v>0.26</v>
      </c>
      <c r="T155" s="17">
        <f t="shared" si="4"/>
        <v>260</v>
      </c>
      <c r="U155" s="40">
        <v>45174</v>
      </c>
      <c r="V155" s="39">
        <v>2332444</v>
      </c>
    </row>
    <row r="156" s="5" customFormat="1" ht="30" customHeight="1" spans="1:22">
      <c r="A156" s="16">
        <v>154</v>
      </c>
      <c r="B156" s="35" t="s">
        <v>23</v>
      </c>
      <c r="C156" s="35" t="s">
        <v>541</v>
      </c>
      <c r="D156" s="36">
        <v>1</v>
      </c>
      <c r="E156" s="35" t="s">
        <v>25</v>
      </c>
      <c r="F156" s="35" t="s">
        <v>542</v>
      </c>
      <c r="G156" s="22" t="s">
        <v>543</v>
      </c>
      <c r="H156" s="35" t="s">
        <v>544</v>
      </c>
      <c r="I156" s="39">
        <v>85365033</v>
      </c>
      <c r="J156" s="35" t="s">
        <v>230</v>
      </c>
      <c r="K156" s="35" t="s">
        <v>231</v>
      </c>
      <c r="L156" s="17" t="s">
        <v>153</v>
      </c>
      <c r="M156" s="35" t="s">
        <v>33</v>
      </c>
      <c r="N156" s="24">
        <v>1200</v>
      </c>
      <c r="O156" s="17">
        <v>0</v>
      </c>
      <c r="P156" s="25" t="s">
        <v>545</v>
      </c>
      <c r="Q156" s="17">
        <v>0</v>
      </c>
      <c r="R156" s="17">
        <v>2.16</v>
      </c>
      <c r="S156" s="17">
        <v>0.26</v>
      </c>
      <c r="T156" s="17">
        <f t="shared" si="4"/>
        <v>312</v>
      </c>
      <c r="U156" s="40">
        <v>45174</v>
      </c>
      <c r="V156" s="39">
        <v>2332442</v>
      </c>
    </row>
    <row r="157" s="4" customFormat="1" ht="30" customHeight="1" spans="1:22">
      <c r="A157" s="16">
        <v>155</v>
      </c>
      <c r="B157" s="17" t="s">
        <v>23</v>
      </c>
      <c r="C157" s="17" t="s">
        <v>546</v>
      </c>
      <c r="D157" s="18">
        <v>2</v>
      </c>
      <c r="E157" s="17" t="s">
        <v>25</v>
      </c>
      <c r="F157" s="17" t="s">
        <v>547</v>
      </c>
      <c r="G157" s="19" t="s">
        <v>548</v>
      </c>
      <c r="H157" s="17" t="s">
        <v>549</v>
      </c>
      <c r="I157" s="25">
        <v>85061010</v>
      </c>
      <c r="J157" s="17" t="s">
        <v>550</v>
      </c>
      <c r="K157" s="17" t="s">
        <v>551</v>
      </c>
      <c r="L157" s="17" t="s">
        <v>32</v>
      </c>
      <c r="M157" s="17" t="s">
        <v>33</v>
      </c>
      <c r="N157" s="24">
        <v>177120</v>
      </c>
      <c r="O157" s="17">
        <v>164</v>
      </c>
      <c r="P157" s="32" t="s">
        <v>552</v>
      </c>
      <c r="Q157" s="17">
        <v>2064</v>
      </c>
      <c r="R157" s="17">
        <v>1985.52</v>
      </c>
      <c r="S157" s="17">
        <v>0.0806</v>
      </c>
      <c r="T157" s="17">
        <f t="shared" si="4"/>
        <v>14275.872</v>
      </c>
      <c r="U157" s="31">
        <v>45189</v>
      </c>
      <c r="V157" s="25">
        <v>2332606</v>
      </c>
    </row>
    <row r="158" s="4" customFormat="1" ht="30" customHeight="1" spans="1:22">
      <c r="A158" s="16">
        <v>156</v>
      </c>
      <c r="B158" s="17" t="s">
        <v>23</v>
      </c>
      <c r="C158" s="17" t="s">
        <v>553</v>
      </c>
      <c r="D158" s="18">
        <v>1</v>
      </c>
      <c r="E158" s="17" t="s">
        <v>25</v>
      </c>
      <c r="F158" s="17" t="s">
        <v>554</v>
      </c>
      <c r="G158" s="19" t="s">
        <v>548</v>
      </c>
      <c r="H158" s="17" t="s">
        <v>555</v>
      </c>
      <c r="I158" s="25">
        <v>85061010</v>
      </c>
      <c r="J158" s="17" t="s">
        <v>550</v>
      </c>
      <c r="K158" s="17" t="s">
        <v>551</v>
      </c>
      <c r="L158" s="17" t="s">
        <v>32</v>
      </c>
      <c r="M158" s="17" t="s">
        <v>33</v>
      </c>
      <c r="N158" s="24">
        <v>130820</v>
      </c>
      <c r="O158" s="17">
        <v>211</v>
      </c>
      <c r="P158" s="25" t="s">
        <v>556</v>
      </c>
      <c r="Q158" s="17">
        <v>3155</v>
      </c>
      <c r="R158" s="17">
        <v>3003.63</v>
      </c>
      <c r="S158" s="17">
        <v>0.1091</v>
      </c>
      <c r="T158" s="17">
        <f t="shared" si="4"/>
        <v>14272.462</v>
      </c>
      <c r="U158" s="31">
        <v>45187</v>
      </c>
      <c r="V158" s="25">
        <v>2332293</v>
      </c>
    </row>
    <row r="159" s="4" customFormat="1" ht="30" customHeight="1" spans="1:22">
      <c r="A159" s="16">
        <v>157</v>
      </c>
      <c r="B159" s="17" t="s">
        <v>23</v>
      </c>
      <c r="C159" s="17" t="s">
        <v>557</v>
      </c>
      <c r="D159" s="18">
        <v>9</v>
      </c>
      <c r="E159" s="17" t="s">
        <v>25</v>
      </c>
      <c r="F159" s="17" t="s">
        <v>558</v>
      </c>
      <c r="G159" s="19" t="s">
        <v>559</v>
      </c>
      <c r="H159" s="17" t="s">
        <v>560</v>
      </c>
      <c r="I159" s="25">
        <v>85444919</v>
      </c>
      <c r="J159" s="17" t="s">
        <v>39</v>
      </c>
      <c r="K159" s="17" t="s">
        <v>40</v>
      </c>
      <c r="L159" s="17" t="s">
        <v>32</v>
      </c>
      <c r="M159" s="17" t="s">
        <v>561</v>
      </c>
      <c r="N159" s="24">
        <v>1500</v>
      </c>
      <c r="O159" s="17">
        <v>1</v>
      </c>
      <c r="P159" s="25" t="s">
        <v>562</v>
      </c>
      <c r="Q159" s="17">
        <v>1.89</v>
      </c>
      <c r="R159" s="17">
        <v>1.5</v>
      </c>
      <c r="S159" s="17">
        <v>0.0177</v>
      </c>
      <c r="T159" s="17">
        <f t="shared" si="4"/>
        <v>26.55</v>
      </c>
      <c r="U159" s="31">
        <v>45184</v>
      </c>
      <c r="V159" s="25">
        <v>2332458</v>
      </c>
    </row>
    <row r="160" s="4" customFormat="1" ht="30" customHeight="1" spans="1:22">
      <c r="A160" s="16">
        <v>158</v>
      </c>
      <c r="B160" s="17" t="s">
        <v>23</v>
      </c>
      <c r="C160" s="17" t="s">
        <v>563</v>
      </c>
      <c r="D160" s="18">
        <v>1</v>
      </c>
      <c r="E160" s="17" t="s">
        <v>25</v>
      </c>
      <c r="F160" s="17" t="s">
        <v>564</v>
      </c>
      <c r="G160" s="19" t="s">
        <v>565</v>
      </c>
      <c r="H160" s="17" t="s">
        <v>566</v>
      </c>
      <c r="I160" s="25">
        <v>85444229</v>
      </c>
      <c r="J160" s="17" t="s">
        <v>39</v>
      </c>
      <c r="K160" s="17" t="s">
        <v>40</v>
      </c>
      <c r="L160" s="17" t="s">
        <v>32</v>
      </c>
      <c r="M160" s="17" t="s">
        <v>33</v>
      </c>
      <c r="N160" s="24">
        <v>1500</v>
      </c>
      <c r="O160" s="17">
        <v>2</v>
      </c>
      <c r="P160" s="25" t="s">
        <v>567</v>
      </c>
      <c r="Q160" s="17">
        <v>3.36</v>
      </c>
      <c r="R160" s="17">
        <v>2.64</v>
      </c>
      <c r="S160" s="17">
        <v>0.2752</v>
      </c>
      <c r="T160" s="17">
        <f t="shared" si="4"/>
        <v>412.8</v>
      </c>
      <c r="U160" s="31">
        <v>45174</v>
      </c>
      <c r="V160" s="25">
        <v>2332554</v>
      </c>
    </row>
    <row r="161" s="4" customFormat="1" ht="30" customHeight="1" spans="1:22">
      <c r="A161" s="16">
        <v>159</v>
      </c>
      <c r="B161" s="17" t="s">
        <v>23</v>
      </c>
      <c r="C161" s="17" t="s">
        <v>563</v>
      </c>
      <c r="D161" s="18">
        <v>9</v>
      </c>
      <c r="E161" s="17" t="s">
        <v>25</v>
      </c>
      <c r="F161" s="17" t="s">
        <v>568</v>
      </c>
      <c r="G161" s="19" t="s">
        <v>565</v>
      </c>
      <c r="H161" s="17" t="s">
        <v>569</v>
      </c>
      <c r="I161" s="25">
        <v>85444229</v>
      </c>
      <c r="J161" s="17" t="s">
        <v>39</v>
      </c>
      <c r="K161" s="17" t="s">
        <v>40</v>
      </c>
      <c r="L161" s="17" t="s">
        <v>32</v>
      </c>
      <c r="M161" s="17" t="s">
        <v>33</v>
      </c>
      <c r="N161" s="24">
        <v>6000</v>
      </c>
      <c r="O161" s="17">
        <v>2</v>
      </c>
      <c r="P161" s="25" t="s">
        <v>570</v>
      </c>
      <c r="Q161" s="17">
        <v>4.58</v>
      </c>
      <c r="R161" s="17">
        <v>3.78</v>
      </c>
      <c r="S161" s="17">
        <v>0.1905</v>
      </c>
      <c r="T161" s="17">
        <f t="shared" si="4"/>
        <v>1143</v>
      </c>
      <c r="U161" s="31">
        <v>45174</v>
      </c>
      <c r="V161" s="25">
        <v>2332555</v>
      </c>
    </row>
    <row r="162" s="4" customFormat="1" ht="30" customHeight="1" spans="1:22">
      <c r="A162" s="16">
        <v>160</v>
      </c>
      <c r="B162" s="17" t="s">
        <v>23</v>
      </c>
      <c r="C162" s="17" t="s">
        <v>563</v>
      </c>
      <c r="D162" s="18">
        <v>17</v>
      </c>
      <c r="E162" s="17" t="s">
        <v>25</v>
      </c>
      <c r="F162" s="17" t="s">
        <v>571</v>
      </c>
      <c r="G162" s="19" t="s">
        <v>565</v>
      </c>
      <c r="H162" s="17" t="s">
        <v>572</v>
      </c>
      <c r="I162" s="25">
        <v>85444229</v>
      </c>
      <c r="J162" s="17" t="s">
        <v>39</v>
      </c>
      <c r="K162" s="17" t="s">
        <v>40</v>
      </c>
      <c r="L162" s="17" t="s">
        <v>32</v>
      </c>
      <c r="M162" s="17" t="s">
        <v>33</v>
      </c>
      <c r="N162" s="24">
        <v>2000</v>
      </c>
      <c r="O162" s="17">
        <v>2</v>
      </c>
      <c r="P162" s="25" t="s">
        <v>573</v>
      </c>
      <c r="Q162" s="17">
        <v>13.7</v>
      </c>
      <c r="R162" s="17">
        <v>12.4</v>
      </c>
      <c r="S162" s="17">
        <v>0.4818</v>
      </c>
      <c r="T162" s="17">
        <f t="shared" si="4"/>
        <v>963.6</v>
      </c>
      <c r="U162" s="31">
        <v>45174</v>
      </c>
      <c r="V162" s="25">
        <v>2332556</v>
      </c>
    </row>
    <row r="163" s="4" customFormat="1" ht="30" customHeight="1" spans="1:22">
      <c r="A163" s="16">
        <v>161</v>
      </c>
      <c r="B163" s="17" t="s">
        <v>23</v>
      </c>
      <c r="C163" s="17" t="s">
        <v>563</v>
      </c>
      <c r="D163" s="18">
        <v>25</v>
      </c>
      <c r="E163" s="17" t="s">
        <v>25</v>
      </c>
      <c r="F163" s="17" t="s">
        <v>574</v>
      </c>
      <c r="G163" s="19" t="s">
        <v>565</v>
      </c>
      <c r="H163" s="17" t="s">
        <v>575</v>
      </c>
      <c r="I163" s="25">
        <v>85444229</v>
      </c>
      <c r="J163" s="17" t="s">
        <v>39</v>
      </c>
      <c r="K163" s="17" t="s">
        <v>40</v>
      </c>
      <c r="L163" s="17" t="s">
        <v>32</v>
      </c>
      <c r="M163" s="17" t="s">
        <v>33</v>
      </c>
      <c r="N163" s="24">
        <v>2800</v>
      </c>
      <c r="O163" s="17">
        <v>3</v>
      </c>
      <c r="P163" s="25" t="s">
        <v>576</v>
      </c>
      <c r="Q163" s="17">
        <v>18.67</v>
      </c>
      <c r="R163" s="17">
        <v>17.08</v>
      </c>
      <c r="S163" s="17">
        <v>0.8143</v>
      </c>
      <c r="T163" s="17">
        <f t="shared" si="4"/>
        <v>2280.04</v>
      </c>
      <c r="U163" s="31">
        <v>45174</v>
      </c>
      <c r="V163" s="25">
        <v>2332557</v>
      </c>
    </row>
    <row r="164" s="4" customFormat="1" ht="30" customHeight="1" spans="1:22">
      <c r="A164" s="16">
        <v>162</v>
      </c>
      <c r="B164" s="17" t="s">
        <v>23</v>
      </c>
      <c r="C164" s="17" t="s">
        <v>563</v>
      </c>
      <c r="D164" s="18">
        <v>33</v>
      </c>
      <c r="E164" s="17" t="s">
        <v>25</v>
      </c>
      <c r="F164" s="17" t="s">
        <v>577</v>
      </c>
      <c r="G164" s="19" t="s">
        <v>565</v>
      </c>
      <c r="H164" s="17" t="s">
        <v>578</v>
      </c>
      <c r="I164" s="25">
        <v>85444229</v>
      </c>
      <c r="J164" s="17" t="s">
        <v>39</v>
      </c>
      <c r="K164" s="17" t="s">
        <v>40</v>
      </c>
      <c r="L164" s="17" t="s">
        <v>32</v>
      </c>
      <c r="M164" s="17" t="s">
        <v>33</v>
      </c>
      <c r="N164" s="24">
        <v>300</v>
      </c>
      <c r="O164" s="17">
        <v>2</v>
      </c>
      <c r="P164" s="25" t="s">
        <v>579</v>
      </c>
      <c r="Q164" s="17">
        <v>3.12</v>
      </c>
      <c r="R164" s="17">
        <v>2.53</v>
      </c>
      <c r="S164" s="17">
        <v>0.7694</v>
      </c>
      <c r="T164" s="17">
        <f t="shared" ref="T164:T195" si="5">N164*S164</f>
        <v>230.82</v>
      </c>
      <c r="U164" s="31">
        <v>45174</v>
      </c>
      <c r="V164" s="25">
        <v>2332558</v>
      </c>
    </row>
    <row r="165" s="4" customFormat="1" ht="30" customHeight="1" spans="1:22">
      <c r="A165" s="16">
        <v>163</v>
      </c>
      <c r="B165" s="17" t="s">
        <v>23</v>
      </c>
      <c r="C165" s="17" t="s">
        <v>563</v>
      </c>
      <c r="D165" s="18">
        <v>41</v>
      </c>
      <c r="E165" s="17" t="s">
        <v>25</v>
      </c>
      <c r="F165" s="17" t="s">
        <v>580</v>
      </c>
      <c r="G165" s="19" t="s">
        <v>565</v>
      </c>
      <c r="H165" s="17" t="s">
        <v>581</v>
      </c>
      <c r="I165" s="25">
        <v>85444229</v>
      </c>
      <c r="J165" s="17" t="s">
        <v>39</v>
      </c>
      <c r="K165" s="17" t="s">
        <v>40</v>
      </c>
      <c r="L165" s="17" t="s">
        <v>32</v>
      </c>
      <c r="M165" s="17" t="s">
        <v>33</v>
      </c>
      <c r="N165" s="24">
        <v>1000</v>
      </c>
      <c r="O165" s="17">
        <v>1</v>
      </c>
      <c r="P165" s="25" t="s">
        <v>582</v>
      </c>
      <c r="Q165" s="17">
        <v>3.43</v>
      </c>
      <c r="R165" s="17">
        <v>2.84</v>
      </c>
      <c r="S165" s="17">
        <v>0.2179</v>
      </c>
      <c r="T165" s="17">
        <f t="shared" si="5"/>
        <v>217.9</v>
      </c>
      <c r="U165" s="31">
        <v>45174</v>
      </c>
      <c r="V165" s="25">
        <v>2332559</v>
      </c>
    </row>
    <row r="166" s="4" customFormat="1" ht="30" customHeight="1" spans="1:22">
      <c r="A166" s="16">
        <v>164</v>
      </c>
      <c r="B166" s="17" t="s">
        <v>23</v>
      </c>
      <c r="C166" s="17" t="s">
        <v>563</v>
      </c>
      <c r="D166" s="18">
        <v>49</v>
      </c>
      <c r="E166" s="17" t="s">
        <v>25</v>
      </c>
      <c r="F166" s="17" t="s">
        <v>583</v>
      </c>
      <c r="G166" s="19" t="s">
        <v>565</v>
      </c>
      <c r="H166" s="17" t="s">
        <v>584</v>
      </c>
      <c r="I166" s="25">
        <v>85444229</v>
      </c>
      <c r="J166" s="17" t="s">
        <v>39</v>
      </c>
      <c r="K166" s="17" t="s">
        <v>40</v>
      </c>
      <c r="L166" s="17" t="s">
        <v>32</v>
      </c>
      <c r="M166" s="17" t="s">
        <v>33</v>
      </c>
      <c r="N166" s="24">
        <v>3000</v>
      </c>
      <c r="O166" s="17">
        <v>2</v>
      </c>
      <c r="P166" s="25" t="s">
        <v>585</v>
      </c>
      <c r="Q166" s="17">
        <v>5.73</v>
      </c>
      <c r="R166" s="17">
        <v>4.68</v>
      </c>
      <c r="S166" s="17">
        <v>0.2428</v>
      </c>
      <c r="T166" s="17">
        <f t="shared" si="5"/>
        <v>728.4</v>
      </c>
      <c r="U166" s="31">
        <v>45174</v>
      </c>
      <c r="V166" s="25">
        <v>2332560</v>
      </c>
    </row>
    <row r="167" s="4" customFormat="1" ht="30" customHeight="1" spans="1:22">
      <c r="A167" s="16">
        <v>165</v>
      </c>
      <c r="B167" s="17" t="s">
        <v>23</v>
      </c>
      <c r="C167" s="17" t="s">
        <v>563</v>
      </c>
      <c r="D167" s="18">
        <v>57</v>
      </c>
      <c r="E167" s="17" t="s">
        <v>25</v>
      </c>
      <c r="F167" s="17" t="s">
        <v>586</v>
      </c>
      <c r="G167" s="19" t="s">
        <v>565</v>
      </c>
      <c r="H167" s="17" t="s">
        <v>587</v>
      </c>
      <c r="I167" s="25">
        <v>85444229</v>
      </c>
      <c r="J167" s="17" t="s">
        <v>39</v>
      </c>
      <c r="K167" s="17" t="s">
        <v>40</v>
      </c>
      <c r="L167" s="17" t="s">
        <v>32</v>
      </c>
      <c r="M167" s="17" t="s">
        <v>33</v>
      </c>
      <c r="N167" s="24">
        <v>1000</v>
      </c>
      <c r="O167" s="17">
        <v>1</v>
      </c>
      <c r="P167" s="25" t="s">
        <v>588</v>
      </c>
      <c r="Q167" s="17">
        <v>8.12</v>
      </c>
      <c r="R167" s="17">
        <v>7.55</v>
      </c>
      <c r="S167" s="17">
        <v>0.4632</v>
      </c>
      <c r="T167" s="17">
        <f t="shared" si="5"/>
        <v>463.2</v>
      </c>
      <c r="U167" s="31">
        <v>45174</v>
      </c>
      <c r="V167" s="25">
        <v>2332561</v>
      </c>
    </row>
    <row r="168" s="4" customFormat="1" ht="30" customHeight="1" spans="1:22">
      <c r="A168" s="16">
        <v>166</v>
      </c>
      <c r="B168" s="17" t="s">
        <v>23</v>
      </c>
      <c r="C168" s="17" t="s">
        <v>563</v>
      </c>
      <c r="D168" s="18">
        <v>65</v>
      </c>
      <c r="E168" s="17" t="s">
        <v>25</v>
      </c>
      <c r="F168" s="17" t="s">
        <v>589</v>
      </c>
      <c r="G168" s="19" t="s">
        <v>565</v>
      </c>
      <c r="H168" s="17" t="s">
        <v>590</v>
      </c>
      <c r="I168" s="25">
        <v>85444229</v>
      </c>
      <c r="J168" s="17" t="s">
        <v>39</v>
      </c>
      <c r="K168" s="17" t="s">
        <v>40</v>
      </c>
      <c r="L168" s="17" t="s">
        <v>32</v>
      </c>
      <c r="M168" s="17" t="s">
        <v>33</v>
      </c>
      <c r="N168" s="24">
        <v>1000</v>
      </c>
      <c r="O168" s="17">
        <v>1</v>
      </c>
      <c r="P168" s="25" t="s">
        <v>591</v>
      </c>
      <c r="Q168" s="17">
        <v>5.2</v>
      </c>
      <c r="R168" s="17">
        <v>4.67</v>
      </c>
      <c r="S168" s="17">
        <v>0.1731</v>
      </c>
      <c r="T168" s="17">
        <f t="shared" si="5"/>
        <v>173.1</v>
      </c>
      <c r="U168" s="31">
        <v>45174</v>
      </c>
      <c r="V168" s="25">
        <v>2332562</v>
      </c>
    </row>
    <row r="169" s="4" customFormat="1" ht="30" customHeight="1" spans="1:22">
      <c r="A169" s="16">
        <v>167</v>
      </c>
      <c r="B169" s="17" t="s">
        <v>23</v>
      </c>
      <c r="C169" s="17" t="s">
        <v>563</v>
      </c>
      <c r="D169" s="18">
        <v>73</v>
      </c>
      <c r="E169" s="17" t="s">
        <v>25</v>
      </c>
      <c r="F169" s="17" t="s">
        <v>592</v>
      </c>
      <c r="G169" s="19" t="s">
        <v>565</v>
      </c>
      <c r="H169" s="17" t="s">
        <v>593</v>
      </c>
      <c r="I169" s="25">
        <v>85444229</v>
      </c>
      <c r="J169" s="17" t="s">
        <v>39</v>
      </c>
      <c r="K169" s="17" t="s">
        <v>40</v>
      </c>
      <c r="L169" s="17" t="s">
        <v>32</v>
      </c>
      <c r="M169" s="17" t="s">
        <v>33</v>
      </c>
      <c r="N169" s="24">
        <v>1000</v>
      </c>
      <c r="O169" s="17">
        <v>1</v>
      </c>
      <c r="P169" s="25" t="s">
        <v>594</v>
      </c>
      <c r="Q169" s="17">
        <v>9.92</v>
      </c>
      <c r="R169" s="17">
        <v>9.64</v>
      </c>
      <c r="S169" s="17">
        <v>0.5424</v>
      </c>
      <c r="T169" s="17">
        <f t="shared" si="5"/>
        <v>542.4</v>
      </c>
      <c r="U169" s="31">
        <v>45174</v>
      </c>
      <c r="V169" s="25">
        <v>2332563</v>
      </c>
    </row>
    <row r="170" s="4" customFormat="1" ht="30" customHeight="1" spans="1:22">
      <c r="A170" s="16">
        <v>168</v>
      </c>
      <c r="B170" s="17" t="s">
        <v>23</v>
      </c>
      <c r="C170" s="17" t="s">
        <v>563</v>
      </c>
      <c r="D170" s="18">
        <v>81</v>
      </c>
      <c r="E170" s="17" t="s">
        <v>25</v>
      </c>
      <c r="F170" s="17" t="s">
        <v>595</v>
      </c>
      <c r="G170" s="19" t="s">
        <v>565</v>
      </c>
      <c r="H170" s="17" t="s">
        <v>596</v>
      </c>
      <c r="I170" s="25">
        <v>85444229</v>
      </c>
      <c r="J170" s="17" t="s">
        <v>39</v>
      </c>
      <c r="K170" s="17" t="s">
        <v>40</v>
      </c>
      <c r="L170" s="17" t="s">
        <v>32</v>
      </c>
      <c r="M170" s="17" t="s">
        <v>33</v>
      </c>
      <c r="N170" s="24">
        <v>1000</v>
      </c>
      <c r="O170" s="17">
        <v>1</v>
      </c>
      <c r="P170" s="25" t="s">
        <v>597</v>
      </c>
      <c r="Q170" s="17">
        <v>11.33</v>
      </c>
      <c r="R170" s="17">
        <v>10.78</v>
      </c>
      <c r="S170" s="17">
        <v>0.4158</v>
      </c>
      <c r="T170" s="17">
        <f t="shared" si="5"/>
        <v>415.8</v>
      </c>
      <c r="U170" s="31">
        <v>45174</v>
      </c>
      <c r="V170" s="25">
        <v>2332564</v>
      </c>
    </row>
    <row r="171" s="4" customFormat="1" ht="30" customHeight="1" spans="1:22">
      <c r="A171" s="16">
        <v>169</v>
      </c>
      <c r="B171" s="17" t="s">
        <v>23</v>
      </c>
      <c r="C171" s="17" t="s">
        <v>598</v>
      </c>
      <c r="D171" s="18">
        <v>1</v>
      </c>
      <c r="E171" s="17" t="s">
        <v>25</v>
      </c>
      <c r="F171" s="17" t="s">
        <v>599</v>
      </c>
      <c r="G171" s="19" t="s">
        <v>600</v>
      </c>
      <c r="H171" s="17" t="s">
        <v>601</v>
      </c>
      <c r="I171" s="25">
        <v>85444919</v>
      </c>
      <c r="J171" s="17" t="s">
        <v>39</v>
      </c>
      <c r="K171" s="17" t="s">
        <v>40</v>
      </c>
      <c r="L171" s="17" t="s">
        <v>32</v>
      </c>
      <c r="M171" s="17" t="s">
        <v>33</v>
      </c>
      <c r="N171" s="24">
        <v>110000</v>
      </c>
      <c r="O171" s="17">
        <v>2</v>
      </c>
      <c r="P171" s="25" t="s">
        <v>602</v>
      </c>
      <c r="Q171" s="17">
        <v>51.4</v>
      </c>
      <c r="R171" s="17">
        <v>42.9</v>
      </c>
      <c r="S171" s="17">
        <v>0.009</v>
      </c>
      <c r="T171" s="17">
        <f t="shared" si="5"/>
        <v>990</v>
      </c>
      <c r="U171" s="31">
        <v>45204</v>
      </c>
      <c r="V171" s="25">
        <v>2332604</v>
      </c>
    </row>
    <row r="172" s="4" customFormat="1" ht="30" customHeight="1" spans="1:22">
      <c r="A172" s="16">
        <v>170</v>
      </c>
      <c r="B172" s="17" t="s">
        <v>23</v>
      </c>
      <c r="C172" s="17" t="s">
        <v>598</v>
      </c>
      <c r="D172" s="18">
        <v>2</v>
      </c>
      <c r="E172" s="17" t="s">
        <v>25</v>
      </c>
      <c r="F172" s="17" t="s">
        <v>603</v>
      </c>
      <c r="G172" s="19" t="s">
        <v>600</v>
      </c>
      <c r="H172" s="17" t="s">
        <v>604</v>
      </c>
      <c r="I172" s="25">
        <v>85444919</v>
      </c>
      <c r="J172" s="17" t="s">
        <v>39</v>
      </c>
      <c r="K172" s="17" t="s">
        <v>40</v>
      </c>
      <c r="L172" s="17" t="s">
        <v>32</v>
      </c>
      <c r="M172" s="17" t="s">
        <v>33</v>
      </c>
      <c r="N172" s="24">
        <v>110000</v>
      </c>
      <c r="O172" s="17">
        <v>5</v>
      </c>
      <c r="P172" s="25" t="s">
        <v>605</v>
      </c>
      <c r="Q172" s="17">
        <v>67</v>
      </c>
      <c r="R172" s="17">
        <v>64.9</v>
      </c>
      <c r="S172" s="17">
        <v>0.0131</v>
      </c>
      <c r="T172" s="17">
        <f t="shared" si="5"/>
        <v>1441</v>
      </c>
      <c r="U172" s="31">
        <v>45204</v>
      </c>
      <c r="V172" s="25">
        <v>2332605</v>
      </c>
    </row>
    <row r="173" s="4" customFormat="1" ht="30" customHeight="1" spans="1:22">
      <c r="A173" s="16">
        <v>171</v>
      </c>
      <c r="B173" s="17" t="s">
        <v>23</v>
      </c>
      <c r="C173" s="17" t="s">
        <v>557</v>
      </c>
      <c r="D173" s="18">
        <v>3</v>
      </c>
      <c r="E173" s="17" t="s">
        <v>25</v>
      </c>
      <c r="F173" s="17" t="s">
        <v>606</v>
      </c>
      <c r="G173" s="21" t="s">
        <v>607</v>
      </c>
      <c r="H173" s="17" t="s">
        <v>608</v>
      </c>
      <c r="I173" s="25">
        <v>73181510</v>
      </c>
      <c r="J173" s="17" t="s">
        <v>308</v>
      </c>
      <c r="K173" s="17" t="s">
        <v>309</v>
      </c>
      <c r="L173" s="17" t="s">
        <v>32</v>
      </c>
      <c r="M173" s="17" t="s">
        <v>33</v>
      </c>
      <c r="N173" s="24">
        <v>10000</v>
      </c>
      <c r="O173" s="17">
        <v>1</v>
      </c>
      <c r="P173" s="25" t="s">
        <v>609</v>
      </c>
      <c r="Q173" s="17">
        <v>4.03</v>
      </c>
      <c r="R173" s="17">
        <v>0.56</v>
      </c>
      <c r="S173" s="17">
        <v>0.005</v>
      </c>
      <c r="T173" s="17">
        <f t="shared" si="5"/>
        <v>50</v>
      </c>
      <c r="U173" s="31">
        <v>45184</v>
      </c>
      <c r="V173" s="25">
        <v>2332449</v>
      </c>
    </row>
    <row r="174" s="4" customFormat="1" ht="30" customHeight="1" spans="1:22">
      <c r="A174" s="16">
        <v>172</v>
      </c>
      <c r="B174" s="17" t="s">
        <v>23</v>
      </c>
      <c r="C174" s="17" t="s">
        <v>557</v>
      </c>
      <c r="D174" s="18">
        <v>3</v>
      </c>
      <c r="E174" s="17" t="s">
        <v>25</v>
      </c>
      <c r="F174" s="17" t="s">
        <v>606</v>
      </c>
      <c r="G174" s="21" t="s">
        <v>607</v>
      </c>
      <c r="H174" s="17" t="s">
        <v>608</v>
      </c>
      <c r="I174" s="25">
        <v>73181510</v>
      </c>
      <c r="J174" s="17" t="s">
        <v>308</v>
      </c>
      <c r="K174" s="17" t="s">
        <v>309</v>
      </c>
      <c r="L174" s="17" t="s">
        <v>32</v>
      </c>
      <c r="M174" s="17" t="s">
        <v>33</v>
      </c>
      <c r="N174" s="24">
        <v>50000</v>
      </c>
      <c r="O174" s="17">
        <v>0</v>
      </c>
      <c r="P174" s="25" t="s">
        <v>609</v>
      </c>
      <c r="Q174" s="17">
        <v>0</v>
      </c>
      <c r="R174" s="17">
        <v>2.81</v>
      </c>
      <c r="S174" s="17">
        <v>0.005</v>
      </c>
      <c r="T174" s="17">
        <f t="shared" si="5"/>
        <v>250</v>
      </c>
      <c r="U174" s="31">
        <v>45184</v>
      </c>
      <c r="V174" s="25">
        <v>2332450</v>
      </c>
    </row>
    <row r="175" s="4" customFormat="1" ht="30" customHeight="1" spans="1:22">
      <c r="A175" s="16">
        <v>173</v>
      </c>
      <c r="B175" s="17" t="s">
        <v>23</v>
      </c>
      <c r="C175" s="17" t="s">
        <v>557</v>
      </c>
      <c r="D175" s="18">
        <v>3</v>
      </c>
      <c r="E175" s="17" t="s">
        <v>25</v>
      </c>
      <c r="F175" s="17" t="s">
        <v>606</v>
      </c>
      <c r="G175" s="21" t="s">
        <v>607</v>
      </c>
      <c r="H175" s="17" t="s">
        <v>608</v>
      </c>
      <c r="I175" s="25">
        <v>73181510</v>
      </c>
      <c r="J175" s="17" t="s">
        <v>308</v>
      </c>
      <c r="K175" s="17" t="s">
        <v>309</v>
      </c>
      <c r="L175" s="17" t="s">
        <v>32</v>
      </c>
      <c r="M175" s="17" t="s">
        <v>33</v>
      </c>
      <c r="N175" s="24">
        <v>3000</v>
      </c>
      <c r="O175" s="17">
        <v>0</v>
      </c>
      <c r="P175" s="25" t="s">
        <v>609</v>
      </c>
      <c r="Q175" s="17">
        <v>0</v>
      </c>
      <c r="R175" s="17">
        <v>0.17</v>
      </c>
      <c r="S175" s="17">
        <v>0.005</v>
      </c>
      <c r="T175" s="17">
        <f t="shared" si="5"/>
        <v>15</v>
      </c>
      <c r="U175" s="31">
        <v>45184</v>
      </c>
      <c r="V175" s="25">
        <v>2332448</v>
      </c>
    </row>
    <row r="176" s="4" customFormat="1" ht="30" customHeight="1" spans="1:22">
      <c r="A176" s="16">
        <v>174</v>
      </c>
      <c r="B176" s="17" t="s">
        <v>23</v>
      </c>
      <c r="C176" s="17" t="s">
        <v>557</v>
      </c>
      <c r="D176" s="18">
        <v>4</v>
      </c>
      <c r="E176" s="17" t="s">
        <v>25</v>
      </c>
      <c r="F176" s="17" t="s">
        <v>610</v>
      </c>
      <c r="G176" s="19" t="s">
        <v>607</v>
      </c>
      <c r="H176" s="17" t="s">
        <v>611</v>
      </c>
      <c r="I176" s="25">
        <v>73181510</v>
      </c>
      <c r="J176" s="17" t="s">
        <v>308</v>
      </c>
      <c r="K176" s="17" t="s">
        <v>309</v>
      </c>
      <c r="L176" s="17" t="s">
        <v>32</v>
      </c>
      <c r="M176" s="17" t="s">
        <v>33</v>
      </c>
      <c r="N176" s="24">
        <v>80000</v>
      </c>
      <c r="O176" s="17">
        <v>10</v>
      </c>
      <c r="P176" s="25" t="s">
        <v>612</v>
      </c>
      <c r="Q176" s="17">
        <v>160</v>
      </c>
      <c r="R176" s="17">
        <v>108</v>
      </c>
      <c r="S176" s="17">
        <v>0.0065</v>
      </c>
      <c r="T176" s="17">
        <f t="shared" si="5"/>
        <v>520</v>
      </c>
      <c r="U176" s="31">
        <v>45184</v>
      </c>
      <c r="V176" s="25">
        <v>2332451</v>
      </c>
    </row>
    <row r="177" s="4" customFormat="1" ht="30" customHeight="1" spans="1:22">
      <c r="A177" s="16">
        <v>175</v>
      </c>
      <c r="B177" s="17" t="s">
        <v>23</v>
      </c>
      <c r="C177" s="17" t="s">
        <v>557</v>
      </c>
      <c r="D177" s="18">
        <v>4</v>
      </c>
      <c r="E177" s="17" t="s">
        <v>25</v>
      </c>
      <c r="F177" s="17" t="s">
        <v>610</v>
      </c>
      <c r="G177" s="19" t="s">
        <v>607</v>
      </c>
      <c r="H177" s="17" t="s">
        <v>611</v>
      </c>
      <c r="I177" s="25">
        <v>73181510</v>
      </c>
      <c r="J177" s="17" t="s">
        <v>308</v>
      </c>
      <c r="K177" s="17" t="s">
        <v>309</v>
      </c>
      <c r="L177" s="17" t="s">
        <v>32</v>
      </c>
      <c r="M177" s="17" t="s">
        <v>33</v>
      </c>
      <c r="N177" s="24">
        <v>12000</v>
      </c>
      <c r="O177" s="17">
        <v>0</v>
      </c>
      <c r="P177" s="25" t="s">
        <v>612</v>
      </c>
      <c r="Q177" s="17">
        <v>0</v>
      </c>
      <c r="R177" s="17">
        <v>16.2</v>
      </c>
      <c r="S177" s="17">
        <v>0.0065</v>
      </c>
      <c r="T177" s="17">
        <f t="shared" si="5"/>
        <v>78</v>
      </c>
      <c r="U177" s="31">
        <v>45184</v>
      </c>
      <c r="V177" s="25">
        <v>2332452</v>
      </c>
    </row>
    <row r="178" s="4" customFormat="1" ht="30" customHeight="1" spans="1:22">
      <c r="A178" s="16">
        <v>176</v>
      </c>
      <c r="B178" s="17" t="s">
        <v>23</v>
      </c>
      <c r="C178" s="17" t="s">
        <v>557</v>
      </c>
      <c r="D178" s="18">
        <v>4</v>
      </c>
      <c r="E178" s="17" t="s">
        <v>25</v>
      </c>
      <c r="F178" s="17" t="s">
        <v>610</v>
      </c>
      <c r="G178" s="19" t="s">
        <v>607</v>
      </c>
      <c r="H178" s="17" t="s">
        <v>611</v>
      </c>
      <c r="I178" s="25">
        <v>73181510</v>
      </c>
      <c r="J178" s="17" t="s">
        <v>308</v>
      </c>
      <c r="K178" s="17" t="s">
        <v>309</v>
      </c>
      <c r="L178" s="17" t="s">
        <v>32</v>
      </c>
      <c r="M178" s="17" t="s">
        <v>33</v>
      </c>
      <c r="N178" s="24">
        <v>25000</v>
      </c>
      <c r="O178" s="17">
        <v>0</v>
      </c>
      <c r="P178" s="25" t="s">
        <v>612</v>
      </c>
      <c r="Q178" s="17">
        <v>0</v>
      </c>
      <c r="R178" s="17">
        <v>33.75</v>
      </c>
      <c r="S178" s="17">
        <v>0.0065</v>
      </c>
      <c r="T178" s="17">
        <f t="shared" si="5"/>
        <v>162.5</v>
      </c>
      <c r="U178" s="31">
        <v>45184</v>
      </c>
      <c r="V178" s="25">
        <v>2332453</v>
      </c>
    </row>
    <row r="179" s="4" customFormat="1" ht="30" customHeight="1" spans="1:22">
      <c r="A179" s="16">
        <v>177</v>
      </c>
      <c r="B179" s="17" t="s">
        <v>23</v>
      </c>
      <c r="C179" s="17" t="s">
        <v>557</v>
      </c>
      <c r="D179" s="18">
        <v>1</v>
      </c>
      <c r="E179" s="17" t="s">
        <v>25</v>
      </c>
      <c r="F179" s="17" t="s">
        <v>613</v>
      </c>
      <c r="G179" s="19" t="s">
        <v>614</v>
      </c>
      <c r="H179" s="17" t="s">
        <v>615</v>
      </c>
      <c r="I179" s="17">
        <v>39269099</v>
      </c>
      <c r="J179" s="17" t="s">
        <v>616</v>
      </c>
      <c r="K179" s="17" t="s">
        <v>617</v>
      </c>
      <c r="L179" s="17" t="s">
        <v>32</v>
      </c>
      <c r="M179" s="17" t="s">
        <v>33</v>
      </c>
      <c r="N179" s="24">
        <v>345</v>
      </c>
      <c r="O179" s="17">
        <v>1</v>
      </c>
      <c r="P179" s="25" t="s">
        <v>618</v>
      </c>
      <c r="Q179" s="17">
        <v>7.7</v>
      </c>
      <c r="R179" s="17">
        <v>2.75</v>
      </c>
      <c r="S179" s="17">
        <v>0.0715</v>
      </c>
      <c r="T179" s="17">
        <f t="shared" si="5"/>
        <v>24.6675</v>
      </c>
      <c r="U179" s="31">
        <v>45184</v>
      </c>
      <c r="V179" s="25">
        <v>2332446</v>
      </c>
    </row>
    <row r="180" s="4" customFormat="1" ht="30" customHeight="1" spans="1:22">
      <c r="A180" s="16">
        <v>178</v>
      </c>
      <c r="B180" s="17" t="s">
        <v>23</v>
      </c>
      <c r="C180" s="17" t="s">
        <v>557</v>
      </c>
      <c r="D180" s="18">
        <v>2</v>
      </c>
      <c r="E180" s="17" t="s">
        <v>25</v>
      </c>
      <c r="F180" s="17" t="s">
        <v>619</v>
      </c>
      <c r="G180" s="19" t="s">
        <v>614</v>
      </c>
      <c r="H180" s="17" t="s">
        <v>620</v>
      </c>
      <c r="I180" s="17">
        <v>39269099</v>
      </c>
      <c r="J180" s="17" t="s">
        <v>616</v>
      </c>
      <c r="K180" s="17" t="s">
        <v>617</v>
      </c>
      <c r="L180" s="17" t="s">
        <v>32</v>
      </c>
      <c r="M180" s="17" t="s">
        <v>33</v>
      </c>
      <c r="N180" s="24">
        <v>345</v>
      </c>
      <c r="O180" s="17">
        <v>0</v>
      </c>
      <c r="P180" s="25" t="s">
        <v>618</v>
      </c>
      <c r="Q180" s="17">
        <v>0</v>
      </c>
      <c r="R180" s="17">
        <v>3.36</v>
      </c>
      <c r="S180" s="17">
        <v>0.078</v>
      </c>
      <c r="T180" s="17">
        <f t="shared" si="5"/>
        <v>26.91</v>
      </c>
      <c r="U180" s="31">
        <v>45184</v>
      </c>
      <c r="V180" s="25">
        <v>2332447</v>
      </c>
    </row>
    <row r="181" s="4" customFormat="1" ht="30" customHeight="1" spans="1:22">
      <c r="A181" s="16">
        <v>179</v>
      </c>
      <c r="B181" s="17" t="s">
        <v>23</v>
      </c>
      <c r="C181" s="17" t="s">
        <v>557</v>
      </c>
      <c r="D181" s="18">
        <v>5</v>
      </c>
      <c r="E181" s="17" t="s">
        <v>25</v>
      </c>
      <c r="F181" s="17" t="s">
        <v>621</v>
      </c>
      <c r="G181" s="19" t="s">
        <v>614</v>
      </c>
      <c r="H181" s="17" t="s">
        <v>622</v>
      </c>
      <c r="I181" s="17">
        <v>39269099</v>
      </c>
      <c r="J181" s="17" t="s">
        <v>623</v>
      </c>
      <c r="K181" s="17" t="s">
        <v>624</v>
      </c>
      <c r="L181" s="17" t="s">
        <v>32</v>
      </c>
      <c r="M181" s="17" t="s">
        <v>33</v>
      </c>
      <c r="N181" s="24">
        <v>136</v>
      </c>
      <c r="O181" s="17">
        <v>1</v>
      </c>
      <c r="P181" s="25" t="s">
        <v>625</v>
      </c>
      <c r="Q181" s="17">
        <v>3.06</v>
      </c>
      <c r="R181" s="17">
        <v>2.53</v>
      </c>
      <c r="S181" s="17">
        <v>0.4435</v>
      </c>
      <c r="T181" s="17">
        <f t="shared" si="5"/>
        <v>60.316</v>
      </c>
      <c r="U181" s="31">
        <v>45184</v>
      </c>
      <c r="V181" s="25">
        <v>2332454</v>
      </c>
    </row>
    <row r="182" s="4" customFormat="1" ht="30" customHeight="1" spans="1:22">
      <c r="A182" s="16">
        <v>180</v>
      </c>
      <c r="B182" s="17" t="s">
        <v>23</v>
      </c>
      <c r="C182" s="17" t="s">
        <v>557</v>
      </c>
      <c r="D182" s="18">
        <v>6</v>
      </c>
      <c r="E182" s="17" t="s">
        <v>25</v>
      </c>
      <c r="F182" s="17" t="s">
        <v>626</v>
      </c>
      <c r="G182" s="19" t="s">
        <v>614</v>
      </c>
      <c r="H182" s="17" t="s">
        <v>627</v>
      </c>
      <c r="I182" s="17">
        <v>39269099</v>
      </c>
      <c r="J182" s="17" t="s">
        <v>623</v>
      </c>
      <c r="K182" s="17" t="s">
        <v>624</v>
      </c>
      <c r="L182" s="17" t="s">
        <v>32</v>
      </c>
      <c r="M182" s="17" t="s">
        <v>33</v>
      </c>
      <c r="N182" s="24">
        <v>138</v>
      </c>
      <c r="O182" s="17">
        <v>1</v>
      </c>
      <c r="P182" s="25" t="s">
        <v>628</v>
      </c>
      <c r="Q182" s="17">
        <v>5.37</v>
      </c>
      <c r="R182" s="17">
        <v>4.91</v>
      </c>
      <c r="S182" s="17">
        <v>0.8949</v>
      </c>
      <c r="T182" s="17">
        <f t="shared" si="5"/>
        <v>123.4962</v>
      </c>
      <c r="U182" s="31">
        <v>45184</v>
      </c>
      <c r="V182" s="25">
        <v>2332455</v>
      </c>
    </row>
    <row r="183" s="4" customFormat="1" ht="30" customHeight="1" spans="1:22">
      <c r="A183" s="16">
        <v>181</v>
      </c>
      <c r="B183" s="17" t="s">
        <v>23</v>
      </c>
      <c r="C183" s="17" t="s">
        <v>557</v>
      </c>
      <c r="D183" s="18">
        <v>8</v>
      </c>
      <c r="E183" s="17" t="s">
        <v>25</v>
      </c>
      <c r="F183" s="17" t="s">
        <v>629</v>
      </c>
      <c r="G183" s="37" t="s">
        <v>353</v>
      </c>
      <c r="H183" s="17" t="s">
        <v>630</v>
      </c>
      <c r="I183" s="25">
        <v>40169999</v>
      </c>
      <c r="J183" s="17" t="s">
        <v>39</v>
      </c>
      <c r="K183" s="17" t="s">
        <v>40</v>
      </c>
      <c r="L183" s="17" t="s">
        <v>32</v>
      </c>
      <c r="M183" s="17" t="s">
        <v>33</v>
      </c>
      <c r="N183" s="24">
        <v>3000</v>
      </c>
      <c r="O183" s="17">
        <v>1</v>
      </c>
      <c r="P183" s="25" t="s">
        <v>631</v>
      </c>
      <c r="Q183" s="17">
        <v>0.78</v>
      </c>
      <c r="R183" s="17">
        <v>0.54</v>
      </c>
      <c r="S183" s="17">
        <v>0.0083</v>
      </c>
      <c r="T183" s="17">
        <f t="shared" si="5"/>
        <v>24.9</v>
      </c>
      <c r="U183" s="31">
        <v>45184</v>
      </c>
      <c r="V183" s="25">
        <v>2332457</v>
      </c>
    </row>
    <row r="184" s="4" customFormat="1" ht="30" customHeight="1" spans="1:22">
      <c r="A184" s="16">
        <v>182</v>
      </c>
      <c r="B184" s="17" t="s">
        <v>23</v>
      </c>
      <c r="C184" s="17" t="s">
        <v>632</v>
      </c>
      <c r="D184" s="18">
        <v>8</v>
      </c>
      <c r="E184" s="17" t="s">
        <v>25</v>
      </c>
      <c r="F184" s="17" t="s">
        <v>633</v>
      </c>
      <c r="G184" s="19" t="s">
        <v>376</v>
      </c>
      <c r="H184" s="17" t="s">
        <v>634</v>
      </c>
      <c r="I184" s="25">
        <v>73269099</v>
      </c>
      <c r="J184" s="17" t="s">
        <v>341</v>
      </c>
      <c r="K184" s="17" t="s">
        <v>342</v>
      </c>
      <c r="L184" s="17" t="s">
        <v>32</v>
      </c>
      <c r="M184" s="17" t="s">
        <v>33</v>
      </c>
      <c r="N184" s="24">
        <v>1000</v>
      </c>
      <c r="O184" s="17">
        <v>32</v>
      </c>
      <c r="P184" s="25" t="s">
        <v>635</v>
      </c>
      <c r="Q184" s="17">
        <v>536</v>
      </c>
      <c r="R184" s="17">
        <v>430.64</v>
      </c>
      <c r="S184" s="17">
        <v>4.2554</v>
      </c>
      <c r="T184" s="17">
        <f t="shared" si="5"/>
        <v>4255.4</v>
      </c>
      <c r="U184" s="31">
        <v>45174</v>
      </c>
      <c r="V184" s="25">
        <v>2332470</v>
      </c>
    </row>
    <row r="185" s="4" customFormat="1" ht="30" customHeight="1" spans="1:22">
      <c r="A185" s="16">
        <v>183</v>
      </c>
      <c r="B185" s="17" t="s">
        <v>23</v>
      </c>
      <c r="C185" s="17" t="s">
        <v>636</v>
      </c>
      <c r="D185" s="18">
        <v>1</v>
      </c>
      <c r="E185" s="17" t="s">
        <v>25</v>
      </c>
      <c r="F185" s="17" t="s">
        <v>637</v>
      </c>
      <c r="G185" s="19" t="s">
        <v>368</v>
      </c>
      <c r="H185" s="17" t="s">
        <v>638</v>
      </c>
      <c r="I185" s="25">
        <v>73269099</v>
      </c>
      <c r="J185" s="17" t="s">
        <v>341</v>
      </c>
      <c r="K185" s="17" t="s">
        <v>342</v>
      </c>
      <c r="L185" s="17" t="s">
        <v>32</v>
      </c>
      <c r="M185" s="17" t="s">
        <v>33</v>
      </c>
      <c r="N185" s="24">
        <v>11000</v>
      </c>
      <c r="O185" s="17">
        <v>1</v>
      </c>
      <c r="P185" s="25" t="s">
        <v>639</v>
      </c>
      <c r="Q185" s="17">
        <v>8.52</v>
      </c>
      <c r="R185" s="17">
        <v>5.39</v>
      </c>
      <c r="S185" s="17">
        <v>0.0109</v>
      </c>
      <c r="T185" s="17">
        <f t="shared" si="5"/>
        <v>119.9</v>
      </c>
      <c r="U185" s="31">
        <v>45217</v>
      </c>
      <c r="V185" s="25">
        <v>2332275</v>
      </c>
    </row>
    <row r="186" s="4" customFormat="1" ht="30" customHeight="1" spans="1:22">
      <c r="A186" s="16">
        <v>184</v>
      </c>
      <c r="B186" s="17" t="s">
        <v>23</v>
      </c>
      <c r="C186" s="17" t="s">
        <v>636</v>
      </c>
      <c r="D186" s="18">
        <v>2</v>
      </c>
      <c r="E186" s="17" t="s">
        <v>25</v>
      </c>
      <c r="F186" s="17" t="s">
        <v>640</v>
      </c>
      <c r="G186" s="19" t="s">
        <v>368</v>
      </c>
      <c r="H186" s="17" t="s">
        <v>641</v>
      </c>
      <c r="I186" s="25">
        <v>73269099</v>
      </c>
      <c r="J186" s="17" t="s">
        <v>341</v>
      </c>
      <c r="K186" s="17" t="s">
        <v>342</v>
      </c>
      <c r="L186" s="17" t="s">
        <v>32</v>
      </c>
      <c r="M186" s="17" t="s">
        <v>33</v>
      </c>
      <c r="N186" s="24">
        <v>7000</v>
      </c>
      <c r="O186" s="17">
        <v>0</v>
      </c>
      <c r="P186" s="25" t="s">
        <v>639</v>
      </c>
      <c r="Q186" s="17">
        <v>0</v>
      </c>
      <c r="R186" s="17">
        <v>2.45</v>
      </c>
      <c r="S186" s="17">
        <v>0.0064</v>
      </c>
      <c r="T186" s="17">
        <f t="shared" si="5"/>
        <v>44.8</v>
      </c>
      <c r="U186" s="31">
        <v>45217</v>
      </c>
      <c r="V186" s="25">
        <v>2332276</v>
      </c>
    </row>
    <row r="187" s="4" customFormat="1" ht="30" customHeight="1" spans="1:22">
      <c r="A187" s="16">
        <v>185</v>
      </c>
      <c r="B187" s="17" t="s">
        <v>23</v>
      </c>
      <c r="C187" s="17" t="s">
        <v>636</v>
      </c>
      <c r="D187" s="18">
        <v>3</v>
      </c>
      <c r="E187" s="17" t="s">
        <v>25</v>
      </c>
      <c r="F187" s="17" t="s">
        <v>642</v>
      </c>
      <c r="G187" s="19" t="s">
        <v>368</v>
      </c>
      <c r="H187" s="17" t="s">
        <v>643</v>
      </c>
      <c r="I187" s="25">
        <v>73269099</v>
      </c>
      <c r="J187" s="17" t="s">
        <v>341</v>
      </c>
      <c r="K187" s="17" t="s">
        <v>342</v>
      </c>
      <c r="L187" s="17" t="s">
        <v>32</v>
      </c>
      <c r="M187" s="17" t="s">
        <v>33</v>
      </c>
      <c r="N187" s="24">
        <v>7000</v>
      </c>
      <c r="O187" s="17">
        <v>1</v>
      </c>
      <c r="P187" s="25" t="s">
        <v>644</v>
      </c>
      <c r="Q187" s="17">
        <v>6.22</v>
      </c>
      <c r="R187" s="17">
        <v>5.6</v>
      </c>
      <c r="S187" s="17">
        <v>0.0151</v>
      </c>
      <c r="T187" s="17">
        <f t="shared" si="5"/>
        <v>105.7</v>
      </c>
      <c r="U187" s="31">
        <v>45217</v>
      </c>
      <c r="V187" s="25">
        <v>2332277</v>
      </c>
    </row>
    <row r="188" s="4" customFormat="1" ht="30" customHeight="1" spans="1:22">
      <c r="A188" s="16">
        <v>186</v>
      </c>
      <c r="B188" s="17" t="s">
        <v>23</v>
      </c>
      <c r="C188" s="17" t="s">
        <v>383</v>
      </c>
      <c r="D188" s="18">
        <v>9</v>
      </c>
      <c r="E188" s="17" t="s">
        <v>25</v>
      </c>
      <c r="F188" s="17" t="s">
        <v>393</v>
      </c>
      <c r="G188" s="19" t="s">
        <v>368</v>
      </c>
      <c r="H188" s="17" t="s">
        <v>394</v>
      </c>
      <c r="I188" s="25">
        <v>73269099</v>
      </c>
      <c r="J188" s="17" t="s">
        <v>341</v>
      </c>
      <c r="K188" s="17" t="s">
        <v>342</v>
      </c>
      <c r="L188" s="17" t="s">
        <v>32</v>
      </c>
      <c r="M188" s="17" t="s">
        <v>33</v>
      </c>
      <c r="N188" s="24">
        <v>54500</v>
      </c>
      <c r="O188" s="17">
        <v>3</v>
      </c>
      <c r="P188" s="25" t="s">
        <v>645</v>
      </c>
      <c r="Q188" s="17">
        <v>47.38</v>
      </c>
      <c r="R188" s="17">
        <v>45.78</v>
      </c>
      <c r="S188" s="17">
        <v>0.0151</v>
      </c>
      <c r="T188" s="17">
        <f t="shared" si="5"/>
        <v>822.95</v>
      </c>
      <c r="U188" s="31">
        <v>45204</v>
      </c>
      <c r="V188" s="25">
        <v>2332491</v>
      </c>
    </row>
    <row r="189" s="4" customFormat="1" ht="30" customHeight="1" spans="1:22">
      <c r="A189" s="16">
        <v>187</v>
      </c>
      <c r="B189" s="17" t="s">
        <v>23</v>
      </c>
      <c r="C189" s="17" t="s">
        <v>646</v>
      </c>
      <c r="D189" s="18">
        <v>1</v>
      </c>
      <c r="E189" s="17" t="s">
        <v>25</v>
      </c>
      <c r="F189" s="17" t="s">
        <v>647</v>
      </c>
      <c r="G189" s="37" t="s">
        <v>648</v>
      </c>
      <c r="H189" s="17" t="s">
        <v>649</v>
      </c>
      <c r="I189" s="25">
        <v>39211999</v>
      </c>
      <c r="J189" s="17" t="s">
        <v>39</v>
      </c>
      <c r="K189" s="17" t="s">
        <v>40</v>
      </c>
      <c r="L189" s="17" t="s">
        <v>32</v>
      </c>
      <c r="M189" s="17" t="s">
        <v>33</v>
      </c>
      <c r="N189" s="24">
        <v>1300</v>
      </c>
      <c r="O189" s="17">
        <v>1</v>
      </c>
      <c r="P189" s="25" t="s">
        <v>650</v>
      </c>
      <c r="Q189" s="17">
        <v>0.36</v>
      </c>
      <c r="R189" s="17">
        <v>0.27</v>
      </c>
      <c r="S189" s="17">
        <v>0.0187</v>
      </c>
      <c r="T189" s="17">
        <f t="shared" si="5"/>
        <v>24.31</v>
      </c>
      <c r="U189" s="31">
        <v>45051</v>
      </c>
      <c r="V189" s="25">
        <v>2332214</v>
      </c>
    </row>
    <row r="190" s="4" customFormat="1" ht="30" customHeight="1" spans="1:22">
      <c r="A190" s="16">
        <v>188</v>
      </c>
      <c r="B190" s="17" t="s">
        <v>23</v>
      </c>
      <c r="C190" s="17" t="s">
        <v>651</v>
      </c>
      <c r="D190" s="18">
        <v>4</v>
      </c>
      <c r="E190" s="17" t="s">
        <v>25</v>
      </c>
      <c r="F190" s="17" t="s">
        <v>652</v>
      </c>
      <c r="G190" s="38" t="s">
        <v>417</v>
      </c>
      <c r="H190" s="17" t="s">
        <v>653</v>
      </c>
      <c r="I190" s="25">
        <v>39232199</v>
      </c>
      <c r="J190" s="17" t="s">
        <v>39</v>
      </c>
      <c r="K190" s="17" t="s">
        <v>40</v>
      </c>
      <c r="L190" s="17" t="s">
        <v>32</v>
      </c>
      <c r="M190" s="17" t="s">
        <v>33</v>
      </c>
      <c r="N190" s="24">
        <v>3900</v>
      </c>
      <c r="O190" s="17">
        <v>1</v>
      </c>
      <c r="P190" s="25" t="s">
        <v>654</v>
      </c>
      <c r="Q190" s="17">
        <v>25.5</v>
      </c>
      <c r="R190" s="17">
        <v>23.17</v>
      </c>
      <c r="S190" s="17">
        <v>0.0159</v>
      </c>
      <c r="T190" s="17">
        <f t="shared" si="5"/>
        <v>62.01</v>
      </c>
      <c r="U190" s="31">
        <v>45174</v>
      </c>
      <c r="V190" s="17">
        <v>2332231</v>
      </c>
    </row>
    <row r="191" s="4" customFormat="1" ht="30" customHeight="1" spans="1:22">
      <c r="A191" s="16">
        <v>189</v>
      </c>
      <c r="B191" s="17" t="s">
        <v>23</v>
      </c>
      <c r="C191" s="17" t="s">
        <v>655</v>
      </c>
      <c r="D191" s="18">
        <v>1</v>
      </c>
      <c r="E191" s="17" t="s">
        <v>25</v>
      </c>
      <c r="F191" s="17" t="s">
        <v>656</v>
      </c>
      <c r="G191" s="19" t="s">
        <v>441</v>
      </c>
      <c r="H191" s="17" t="s">
        <v>657</v>
      </c>
      <c r="I191" s="25">
        <v>49111090</v>
      </c>
      <c r="J191" s="17" t="s">
        <v>197</v>
      </c>
      <c r="K191" s="17" t="s">
        <v>198</v>
      </c>
      <c r="L191" s="17" t="s">
        <v>32</v>
      </c>
      <c r="M191" s="17" t="s">
        <v>33</v>
      </c>
      <c r="N191" s="24">
        <v>10000</v>
      </c>
      <c r="O191" s="17">
        <v>17</v>
      </c>
      <c r="P191" s="25" t="s">
        <v>658</v>
      </c>
      <c r="Q191" s="17">
        <v>143.22</v>
      </c>
      <c r="R191" s="17">
        <v>135.2</v>
      </c>
      <c r="S191" s="17">
        <v>0.0604</v>
      </c>
      <c r="T191" s="17">
        <f t="shared" si="5"/>
        <v>604</v>
      </c>
      <c r="U191" s="31">
        <v>45181</v>
      </c>
      <c r="V191" s="25">
        <v>2332397</v>
      </c>
    </row>
    <row r="192" s="4" customFormat="1" ht="30" customHeight="1" spans="1:22">
      <c r="A192" s="16">
        <v>190</v>
      </c>
      <c r="B192" s="17" t="s">
        <v>23</v>
      </c>
      <c r="C192" s="17" t="s">
        <v>655</v>
      </c>
      <c r="D192" s="18">
        <v>2</v>
      </c>
      <c r="E192" s="17" t="s">
        <v>25</v>
      </c>
      <c r="F192" s="17" t="s">
        <v>659</v>
      </c>
      <c r="G192" s="19" t="s">
        <v>441</v>
      </c>
      <c r="H192" s="17" t="s">
        <v>660</v>
      </c>
      <c r="I192" s="25">
        <v>49111090</v>
      </c>
      <c r="J192" s="17" t="s">
        <v>197</v>
      </c>
      <c r="K192" s="17" t="s">
        <v>198</v>
      </c>
      <c r="L192" s="17" t="s">
        <v>32</v>
      </c>
      <c r="M192" s="17" t="s">
        <v>33</v>
      </c>
      <c r="N192" s="24">
        <v>10000</v>
      </c>
      <c r="O192" s="17">
        <v>7</v>
      </c>
      <c r="P192" s="25" t="s">
        <v>661</v>
      </c>
      <c r="Q192" s="17">
        <v>48.93</v>
      </c>
      <c r="R192" s="17">
        <v>47</v>
      </c>
      <c r="S192" s="17">
        <v>0.0184</v>
      </c>
      <c r="T192" s="17">
        <f t="shared" si="5"/>
        <v>184</v>
      </c>
      <c r="U192" s="31">
        <v>45181</v>
      </c>
      <c r="V192" s="25">
        <v>2332395</v>
      </c>
    </row>
    <row r="193" s="4" customFormat="1" ht="30" customHeight="1" spans="1:22">
      <c r="A193" s="16">
        <v>191</v>
      </c>
      <c r="B193" s="17" t="s">
        <v>23</v>
      </c>
      <c r="C193" s="17" t="s">
        <v>655</v>
      </c>
      <c r="D193" s="18">
        <v>3</v>
      </c>
      <c r="E193" s="17" t="s">
        <v>25</v>
      </c>
      <c r="F193" s="17" t="s">
        <v>662</v>
      </c>
      <c r="G193" s="19" t="s">
        <v>441</v>
      </c>
      <c r="H193" s="17" t="s">
        <v>663</v>
      </c>
      <c r="I193" s="25">
        <v>49111090</v>
      </c>
      <c r="J193" s="17" t="s">
        <v>197</v>
      </c>
      <c r="K193" s="17" t="s">
        <v>198</v>
      </c>
      <c r="L193" s="17" t="s">
        <v>32</v>
      </c>
      <c r="M193" s="17" t="s">
        <v>33</v>
      </c>
      <c r="N193" s="24">
        <v>10000</v>
      </c>
      <c r="O193" s="17">
        <v>2</v>
      </c>
      <c r="P193" s="25" t="s">
        <v>664</v>
      </c>
      <c r="Q193" s="17">
        <v>10.04</v>
      </c>
      <c r="R193" s="17">
        <v>9.3</v>
      </c>
      <c r="S193" s="17">
        <v>0.0095</v>
      </c>
      <c r="T193" s="17">
        <f t="shared" si="5"/>
        <v>95</v>
      </c>
      <c r="U193" s="31">
        <v>45181</v>
      </c>
      <c r="V193" s="25">
        <v>2332396</v>
      </c>
    </row>
    <row r="194" s="4" customFormat="1" ht="30" customHeight="1" spans="1:22">
      <c r="A194" s="16">
        <v>192</v>
      </c>
      <c r="B194" s="17" t="s">
        <v>23</v>
      </c>
      <c r="C194" s="17" t="s">
        <v>665</v>
      </c>
      <c r="D194" s="18">
        <v>1</v>
      </c>
      <c r="E194" s="17" t="s">
        <v>25</v>
      </c>
      <c r="F194" s="17" t="s">
        <v>666</v>
      </c>
      <c r="G194" s="19" t="s">
        <v>667</v>
      </c>
      <c r="H194" s="17" t="s">
        <v>668</v>
      </c>
      <c r="I194" s="25">
        <v>85011022</v>
      </c>
      <c r="J194" s="17" t="s">
        <v>669</v>
      </c>
      <c r="K194" s="17" t="s">
        <v>670</v>
      </c>
      <c r="L194" s="17" t="s">
        <v>32</v>
      </c>
      <c r="M194" s="17" t="s">
        <v>33</v>
      </c>
      <c r="N194" s="24">
        <v>76200</v>
      </c>
      <c r="O194" s="17">
        <v>153</v>
      </c>
      <c r="P194" s="25" t="s">
        <v>671</v>
      </c>
      <c r="Q194" s="17">
        <v>1568.5</v>
      </c>
      <c r="R194" s="17">
        <v>1447.8</v>
      </c>
      <c r="S194" s="17">
        <v>0.2104</v>
      </c>
      <c r="T194" s="17">
        <f t="shared" si="5"/>
        <v>16032.48</v>
      </c>
      <c r="U194" s="31">
        <v>45187</v>
      </c>
      <c r="V194" s="25">
        <v>2332284</v>
      </c>
    </row>
    <row r="195" s="4" customFormat="1" ht="30" customHeight="1" spans="1:22">
      <c r="A195" s="16">
        <v>193</v>
      </c>
      <c r="B195" s="17" t="s">
        <v>23</v>
      </c>
      <c r="C195" s="17" t="s">
        <v>672</v>
      </c>
      <c r="D195" s="18">
        <v>1</v>
      </c>
      <c r="E195" s="17" t="s">
        <v>25</v>
      </c>
      <c r="F195" s="17" t="s">
        <v>673</v>
      </c>
      <c r="G195" s="19" t="s">
        <v>674</v>
      </c>
      <c r="H195" s="17" t="s">
        <v>675</v>
      </c>
      <c r="I195" s="25">
        <v>92099900</v>
      </c>
      <c r="J195" s="17" t="s">
        <v>197</v>
      </c>
      <c r="K195" s="17" t="s">
        <v>198</v>
      </c>
      <c r="L195" s="17" t="s">
        <v>32</v>
      </c>
      <c r="M195" s="17" t="s">
        <v>33</v>
      </c>
      <c r="N195" s="24">
        <v>200</v>
      </c>
      <c r="O195" s="17">
        <v>2</v>
      </c>
      <c r="P195" s="25" t="s">
        <v>676</v>
      </c>
      <c r="Q195" s="17">
        <v>7.86</v>
      </c>
      <c r="R195" s="17">
        <v>5.2</v>
      </c>
      <c r="S195" s="17">
        <v>0.8504</v>
      </c>
      <c r="T195" s="17">
        <f t="shared" si="5"/>
        <v>170.08</v>
      </c>
      <c r="U195" s="31">
        <v>45174</v>
      </c>
      <c r="V195" s="25">
        <v>2332441</v>
      </c>
    </row>
    <row r="196" s="4" customFormat="1" ht="30" customHeight="1" spans="1:22">
      <c r="A196" s="16">
        <v>194</v>
      </c>
      <c r="B196" s="17" t="s">
        <v>23</v>
      </c>
      <c r="C196" s="17" t="s">
        <v>677</v>
      </c>
      <c r="D196" s="18">
        <v>3</v>
      </c>
      <c r="E196" s="17" t="s">
        <v>25</v>
      </c>
      <c r="F196" s="17" t="s">
        <v>678</v>
      </c>
      <c r="G196" s="19" t="s">
        <v>27</v>
      </c>
      <c r="H196" s="17" t="s">
        <v>679</v>
      </c>
      <c r="I196" s="25">
        <v>85371030</v>
      </c>
      <c r="J196" s="17" t="s">
        <v>30</v>
      </c>
      <c r="K196" s="17" t="s">
        <v>31</v>
      </c>
      <c r="L196" s="17" t="s">
        <v>32</v>
      </c>
      <c r="M196" s="17" t="s">
        <v>33</v>
      </c>
      <c r="N196" s="24">
        <v>22300</v>
      </c>
      <c r="O196" s="17">
        <v>45</v>
      </c>
      <c r="P196" s="25" t="s">
        <v>680</v>
      </c>
      <c r="Q196" s="17">
        <v>111.12</v>
      </c>
      <c r="R196" s="17">
        <v>71.14</v>
      </c>
      <c r="S196" s="17">
        <v>0.3414</v>
      </c>
      <c r="T196" s="17">
        <f>N196*S196</f>
        <v>7613.22</v>
      </c>
      <c r="U196" s="31">
        <v>45174</v>
      </c>
      <c r="V196" s="25">
        <v>2332440</v>
      </c>
    </row>
    <row r="197" s="4" customFormat="1" ht="30" customHeight="1" spans="1:22">
      <c r="A197" s="16">
        <v>195</v>
      </c>
      <c r="B197" s="17" t="s">
        <v>23</v>
      </c>
      <c r="C197" s="17" t="s">
        <v>681</v>
      </c>
      <c r="D197" s="18">
        <v>1</v>
      </c>
      <c r="E197" s="17" t="s">
        <v>25</v>
      </c>
      <c r="F197" s="17" t="s">
        <v>682</v>
      </c>
      <c r="G197" s="19" t="s">
        <v>27</v>
      </c>
      <c r="H197" s="17" t="s">
        <v>683</v>
      </c>
      <c r="I197" s="25">
        <v>85371030</v>
      </c>
      <c r="J197" s="17" t="s">
        <v>30</v>
      </c>
      <c r="K197" s="17" t="s">
        <v>31</v>
      </c>
      <c r="L197" s="17" t="s">
        <v>32</v>
      </c>
      <c r="M197" s="17" t="s">
        <v>33</v>
      </c>
      <c r="N197" s="24">
        <v>480</v>
      </c>
      <c r="O197" s="17">
        <v>3</v>
      </c>
      <c r="P197" s="25" t="s">
        <v>684</v>
      </c>
      <c r="Q197" s="17">
        <v>15.75</v>
      </c>
      <c r="R197" s="17">
        <v>12.24</v>
      </c>
      <c r="S197" s="17">
        <v>2.3892</v>
      </c>
      <c r="T197" s="17">
        <f>N197*S197</f>
        <v>1146.816</v>
      </c>
      <c r="U197" s="31">
        <v>45161</v>
      </c>
      <c r="V197" s="25">
        <v>2332445</v>
      </c>
    </row>
    <row r="198" s="4" customFormat="1" ht="30" customHeight="1" spans="1:22">
      <c r="A198" s="16">
        <v>196</v>
      </c>
      <c r="B198" s="17" t="s">
        <v>23</v>
      </c>
      <c r="C198" s="17" t="s">
        <v>685</v>
      </c>
      <c r="D198" s="18">
        <v>1</v>
      </c>
      <c r="E198" s="17" t="s">
        <v>25</v>
      </c>
      <c r="F198" s="17" t="s">
        <v>686</v>
      </c>
      <c r="G198" s="17" t="s">
        <v>687</v>
      </c>
      <c r="H198" s="17" t="s">
        <v>688</v>
      </c>
      <c r="I198" s="25">
        <v>85439090</v>
      </c>
      <c r="J198" s="17" t="s">
        <v>197</v>
      </c>
      <c r="K198" s="17" t="s">
        <v>198</v>
      </c>
      <c r="L198" s="17" t="s">
        <v>32</v>
      </c>
      <c r="M198" s="17" t="s">
        <v>33</v>
      </c>
      <c r="N198" s="24">
        <v>2100</v>
      </c>
      <c r="O198" s="17">
        <v>24</v>
      </c>
      <c r="P198" s="25" t="s">
        <v>689</v>
      </c>
      <c r="Q198" s="17">
        <v>65</v>
      </c>
      <c r="R198" s="17">
        <v>31.29</v>
      </c>
      <c r="S198" s="17">
        <v>1.8333</v>
      </c>
      <c r="T198" s="17">
        <f>N198*S198</f>
        <v>3849.93</v>
      </c>
      <c r="U198" s="31">
        <v>45149</v>
      </c>
      <c r="V198" s="25">
        <v>2332590</v>
      </c>
    </row>
    <row r="199" s="4" customFormat="1" ht="30" customHeight="1" spans="1:22">
      <c r="A199" s="16">
        <v>197</v>
      </c>
      <c r="B199" s="17" t="s">
        <v>23</v>
      </c>
      <c r="C199" s="17" t="s">
        <v>557</v>
      </c>
      <c r="D199" s="18">
        <v>7</v>
      </c>
      <c r="E199" s="17" t="s">
        <v>25</v>
      </c>
      <c r="F199" s="17" t="s">
        <v>686</v>
      </c>
      <c r="G199" s="19" t="s">
        <v>687</v>
      </c>
      <c r="H199" s="17" t="s">
        <v>688</v>
      </c>
      <c r="I199" s="25">
        <v>85439090</v>
      </c>
      <c r="J199" s="17" t="s">
        <v>197</v>
      </c>
      <c r="K199" s="17" t="s">
        <v>198</v>
      </c>
      <c r="L199" s="17" t="s">
        <v>32</v>
      </c>
      <c r="M199" s="17" t="s">
        <v>33</v>
      </c>
      <c r="N199" s="24">
        <v>1290</v>
      </c>
      <c r="O199" s="17">
        <v>15</v>
      </c>
      <c r="P199" s="25" t="s">
        <v>690</v>
      </c>
      <c r="Q199" s="17">
        <v>39.4</v>
      </c>
      <c r="R199" s="17">
        <v>19.22</v>
      </c>
      <c r="S199" s="17">
        <v>1.8333</v>
      </c>
      <c r="T199" s="17">
        <f>N199*S199</f>
        <v>2364.957</v>
      </c>
      <c r="U199" s="31">
        <v>45184</v>
      </c>
      <c r="V199" s="25">
        <v>2332456</v>
      </c>
    </row>
    <row r="200" s="4" customFormat="1" ht="30" customHeight="1" spans="1:22">
      <c r="A200" s="16">
        <v>198</v>
      </c>
      <c r="B200" s="17" t="s">
        <v>23</v>
      </c>
      <c r="C200" s="17" t="s">
        <v>691</v>
      </c>
      <c r="D200" s="18">
        <v>1</v>
      </c>
      <c r="E200" s="17" t="s">
        <v>25</v>
      </c>
      <c r="F200" s="17" t="s">
        <v>692</v>
      </c>
      <c r="G200" s="38" t="s">
        <v>693</v>
      </c>
      <c r="H200" s="17" t="s">
        <v>694</v>
      </c>
      <c r="I200" s="25">
        <v>85176299</v>
      </c>
      <c r="J200" s="17" t="s">
        <v>39</v>
      </c>
      <c r="K200" s="17" t="s">
        <v>40</v>
      </c>
      <c r="L200" s="17" t="s">
        <v>32</v>
      </c>
      <c r="M200" s="17" t="s">
        <v>33</v>
      </c>
      <c r="N200" s="24">
        <v>110</v>
      </c>
      <c r="O200" s="17">
        <v>1</v>
      </c>
      <c r="P200" s="25" t="s">
        <v>695</v>
      </c>
      <c r="Q200" s="17">
        <v>0.5</v>
      </c>
      <c r="R200" s="17">
        <v>0.14</v>
      </c>
      <c r="S200" s="17">
        <v>1.5675</v>
      </c>
      <c r="T200" s="17">
        <f>N200*S200</f>
        <v>172.425</v>
      </c>
      <c r="U200" s="31">
        <v>45181</v>
      </c>
      <c r="V200" s="17">
        <v>2332522</v>
      </c>
    </row>
    <row r="201" s="4" customFormat="1" ht="30" customHeight="1" spans="1:227">
      <c r="A201" s="16">
        <v>199</v>
      </c>
      <c r="B201" s="41" t="s">
        <v>23</v>
      </c>
      <c r="C201" s="41" t="s">
        <v>696</v>
      </c>
      <c r="D201" s="17">
        <v>1</v>
      </c>
      <c r="E201" s="41" t="s">
        <v>25</v>
      </c>
      <c r="F201" s="41" t="s">
        <v>697</v>
      </c>
      <c r="G201" s="41" t="s">
        <v>698</v>
      </c>
      <c r="H201" s="41" t="s">
        <v>699</v>
      </c>
      <c r="I201" s="17">
        <v>39191099</v>
      </c>
      <c r="J201" s="41" t="s">
        <v>341</v>
      </c>
      <c r="K201" s="41" t="s">
        <v>342</v>
      </c>
      <c r="L201" s="17" t="s">
        <v>32</v>
      </c>
      <c r="M201" s="41" t="s">
        <v>248</v>
      </c>
      <c r="N201" s="24">
        <v>6000</v>
      </c>
      <c r="O201" s="17">
        <v>1</v>
      </c>
      <c r="P201" s="25" t="s">
        <v>700</v>
      </c>
      <c r="Q201" s="17">
        <v>13.5</v>
      </c>
      <c r="R201" s="17">
        <v>6</v>
      </c>
      <c r="S201" s="17">
        <v>0.0405</v>
      </c>
      <c r="T201" s="17">
        <f>N201*S201</f>
        <v>243</v>
      </c>
      <c r="U201" s="31">
        <v>45196</v>
      </c>
      <c r="V201" s="17" t="s">
        <v>701</v>
      </c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50"/>
      <c r="AQ201" s="50"/>
      <c r="AR201" s="50"/>
      <c r="AS201" s="50"/>
      <c r="AT201" s="50"/>
      <c r="AU201" s="50"/>
      <c r="AV201" s="50"/>
      <c r="AW201" s="50"/>
      <c r="AX201" s="50"/>
      <c r="AY201" s="50"/>
      <c r="AZ201" s="50"/>
      <c r="BA201" s="50"/>
      <c r="BB201" s="50"/>
      <c r="BC201" s="50"/>
      <c r="BD201" s="50"/>
      <c r="BE201" s="50"/>
      <c r="BF201" s="50"/>
      <c r="BG201" s="50"/>
      <c r="BH201" s="50"/>
      <c r="BI201" s="50"/>
      <c r="BJ201" s="50"/>
      <c r="BK201" s="50"/>
      <c r="BL201" s="50"/>
      <c r="BM201" s="50"/>
      <c r="BN201" s="50"/>
      <c r="BO201" s="50"/>
      <c r="BP201" s="50"/>
      <c r="BQ201" s="50"/>
      <c r="BR201" s="50"/>
      <c r="BS201" s="50"/>
      <c r="BT201" s="50"/>
      <c r="BU201" s="50"/>
      <c r="BV201" s="50"/>
      <c r="BW201" s="50"/>
      <c r="BX201" s="50"/>
      <c r="BY201" s="50"/>
      <c r="BZ201" s="50"/>
      <c r="CA201" s="50"/>
      <c r="CB201" s="50"/>
      <c r="CC201" s="50"/>
      <c r="CD201" s="50"/>
      <c r="CE201" s="50"/>
      <c r="CF201" s="50"/>
      <c r="CG201" s="50"/>
      <c r="CH201" s="50"/>
      <c r="CI201" s="50"/>
      <c r="CJ201" s="50"/>
      <c r="CK201" s="50"/>
      <c r="CL201" s="50"/>
      <c r="CM201" s="50"/>
      <c r="CN201" s="50"/>
      <c r="CO201" s="50"/>
      <c r="CP201" s="50"/>
      <c r="CQ201" s="50"/>
      <c r="CR201" s="50"/>
      <c r="CS201" s="50"/>
      <c r="CT201" s="50"/>
      <c r="CU201" s="50"/>
      <c r="CV201" s="50"/>
      <c r="CW201" s="50"/>
      <c r="CX201" s="50"/>
      <c r="CY201" s="50"/>
      <c r="CZ201" s="50"/>
      <c r="DA201" s="50"/>
      <c r="DB201" s="50"/>
      <c r="DC201" s="50"/>
      <c r="DD201" s="50"/>
      <c r="DE201" s="50"/>
      <c r="DF201" s="50"/>
      <c r="DG201" s="50"/>
      <c r="DH201" s="50"/>
      <c r="DI201" s="50"/>
      <c r="DJ201" s="50"/>
      <c r="DK201" s="50"/>
      <c r="DL201" s="50"/>
      <c r="DM201" s="50"/>
      <c r="DN201" s="50"/>
      <c r="DO201" s="50"/>
      <c r="DP201" s="50"/>
      <c r="DQ201" s="50"/>
      <c r="DR201" s="50"/>
      <c r="DS201" s="50"/>
      <c r="DT201" s="50"/>
      <c r="DU201" s="50"/>
      <c r="DV201" s="50"/>
      <c r="DW201" s="50"/>
      <c r="DX201" s="50"/>
      <c r="DY201" s="50"/>
      <c r="DZ201" s="50"/>
      <c r="EA201" s="50"/>
      <c r="EB201" s="50"/>
      <c r="EC201" s="50"/>
      <c r="ED201" s="50"/>
      <c r="EE201" s="50"/>
      <c r="EF201" s="50"/>
      <c r="EG201" s="50"/>
      <c r="EH201" s="50"/>
      <c r="EI201" s="50"/>
      <c r="EJ201" s="50"/>
      <c r="EK201" s="50"/>
      <c r="EL201" s="50"/>
      <c r="EM201" s="50"/>
      <c r="EN201" s="50"/>
      <c r="EO201" s="50"/>
      <c r="EP201" s="50"/>
      <c r="EQ201" s="50"/>
      <c r="ER201" s="50"/>
      <c r="ES201" s="50"/>
      <c r="ET201" s="50"/>
      <c r="EU201" s="50"/>
      <c r="EV201" s="50"/>
      <c r="EW201" s="50"/>
      <c r="EX201" s="50"/>
      <c r="EY201" s="50"/>
      <c r="EZ201" s="50"/>
      <c r="FA201" s="50"/>
      <c r="FB201" s="50"/>
      <c r="FC201" s="50"/>
      <c r="FD201" s="50"/>
      <c r="FE201" s="50"/>
      <c r="FF201" s="50"/>
      <c r="FG201" s="50"/>
      <c r="FH201" s="50"/>
      <c r="FI201" s="50"/>
      <c r="FJ201" s="50"/>
      <c r="FK201" s="50"/>
      <c r="FL201" s="50"/>
      <c r="FM201" s="50"/>
      <c r="FN201" s="50"/>
      <c r="FO201" s="50"/>
      <c r="FP201" s="50"/>
      <c r="FQ201" s="50"/>
      <c r="FR201" s="50"/>
      <c r="FS201" s="50"/>
      <c r="FT201" s="50"/>
      <c r="FU201" s="50"/>
      <c r="FV201" s="50"/>
      <c r="FW201" s="50"/>
      <c r="FX201" s="50"/>
      <c r="FY201" s="50"/>
      <c r="FZ201" s="50"/>
      <c r="GA201" s="50"/>
      <c r="GB201" s="50"/>
      <c r="GC201" s="50"/>
      <c r="GD201" s="50"/>
      <c r="GE201" s="50"/>
      <c r="GF201" s="50"/>
      <c r="GG201" s="50"/>
      <c r="GH201" s="50"/>
      <c r="GI201" s="50"/>
      <c r="GJ201" s="50"/>
      <c r="GK201" s="50"/>
      <c r="GL201" s="50"/>
      <c r="GM201" s="50"/>
      <c r="GN201" s="50"/>
      <c r="GO201" s="50"/>
      <c r="GP201" s="50"/>
      <c r="GQ201" s="50"/>
      <c r="GR201" s="50"/>
      <c r="GS201" s="50"/>
      <c r="GT201" s="50"/>
      <c r="GU201" s="50"/>
      <c r="GV201" s="50"/>
      <c r="GW201" s="50"/>
      <c r="GX201" s="50"/>
      <c r="GY201" s="50"/>
      <c r="GZ201" s="50"/>
      <c r="HA201" s="50"/>
      <c r="HB201" s="50"/>
      <c r="HC201" s="50"/>
      <c r="HD201" s="50"/>
      <c r="HE201" s="50"/>
      <c r="HF201" s="50"/>
      <c r="HG201" s="50"/>
      <c r="HH201" s="50"/>
      <c r="HI201" s="50"/>
      <c r="HJ201" s="50"/>
      <c r="HK201" s="50"/>
      <c r="HL201" s="50"/>
      <c r="HM201" s="50"/>
      <c r="HN201" s="50"/>
      <c r="HO201" s="50"/>
      <c r="HP201" s="50"/>
      <c r="HQ201" s="50"/>
      <c r="HR201" s="50"/>
      <c r="HS201" s="50"/>
    </row>
    <row r="202" s="4" customFormat="1" ht="30" customHeight="1" spans="1:22">
      <c r="A202" s="16">
        <v>200</v>
      </c>
      <c r="B202" s="20" t="s">
        <v>23</v>
      </c>
      <c r="C202" s="20" t="s">
        <v>702</v>
      </c>
      <c r="D202" s="42">
        <v>1</v>
      </c>
      <c r="E202" s="20" t="s">
        <v>25</v>
      </c>
      <c r="F202" s="20" t="s">
        <v>703</v>
      </c>
      <c r="G202" s="19" t="s">
        <v>441</v>
      </c>
      <c r="H202" s="20" t="s">
        <v>704</v>
      </c>
      <c r="I202" s="25" t="s">
        <v>705</v>
      </c>
      <c r="J202" s="17" t="s">
        <v>197</v>
      </c>
      <c r="K202" s="17" t="s">
        <v>198</v>
      </c>
      <c r="L202" s="17" t="s">
        <v>32</v>
      </c>
      <c r="M202" s="17" t="s">
        <v>33</v>
      </c>
      <c r="N202" s="24">
        <v>3000</v>
      </c>
      <c r="O202" s="17">
        <v>2</v>
      </c>
      <c r="P202" s="25" t="s">
        <v>706</v>
      </c>
      <c r="Q202" s="17">
        <v>25.67</v>
      </c>
      <c r="R202" s="17">
        <v>25.47</v>
      </c>
      <c r="S202" s="17">
        <v>0.0386</v>
      </c>
      <c r="T202" s="17">
        <f>N202*S202</f>
        <v>115.8</v>
      </c>
      <c r="U202" s="31">
        <v>45188</v>
      </c>
      <c r="V202" s="17">
        <v>2332640</v>
      </c>
    </row>
    <row r="203" s="6" customFormat="1" ht="30" customHeight="1" spans="1:227">
      <c r="A203" s="43"/>
      <c r="B203" s="44"/>
      <c r="C203" s="44"/>
      <c r="D203" s="45"/>
      <c r="E203" s="44"/>
      <c r="F203" s="44"/>
      <c r="G203" s="46"/>
      <c r="H203" s="44"/>
      <c r="I203" s="47"/>
      <c r="J203" s="44"/>
      <c r="K203" s="44"/>
      <c r="L203" s="44"/>
      <c r="M203" s="48" t="s">
        <v>707</v>
      </c>
      <c r="N203" s="49">
        <f>SUM(N3:N202)</f>
        <v>4726829</v>
      </c>
      <c r="O203" s="49">
        <f>SUM(O3:O202)</f>
        <v>1306</v>
      </c>
      <c r="P203" s="49"/>
      <c r="Q203" s="49">
        <f>SUM(Q3:Q202)</f>
        <v>14750.73</v>
      </c>
      <c r="R203" s="49">
        <f>SUM(R3:R202)</f>
        <v>13615.66</v>
      </c>
      <c r="S203" s="44"/>
      <c r="T203" s="51">
        <f>SUM(T3:T202)</f>
        <v>223642.1167</v>
      </c>
      <c r="U203" s="52"/>
      <c r="V203" s="47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44"/>
      <c r="BP203" s="44"/>
      <c r="BQ203" s="44"/>
      <c r="BR203" s="44"/>
      <c r="BS203" s="44"/>
      <c r="BT203" s="44"/>
      <c r="BU203" s="44"/>
      <c r="BV203" s="44"/>
      <c r="BW203" s="44"/>
      <c r="BX203" s="44"/>
      <c r="BY203" s="44"/>
      <c r="BZ203" s="44"/>
      <c r="CA203" s="44"/>
      <c r="CB203" s="44"/>
      <c r="CC203" s="44"/>
      <c r="CD203" s="44"/>
      <c r="CE203" s="44"/>
      <c r="CF203" s="44"/>
      <c r="CG203" s="44"/>
      <c r="CH203" s="44"/>
      <c r="CI203" s="44"/>
      <c r="CJ203" s="44"/>
      <c r="CK203" s="44"/>
      <c r="CL203" s="44"/>
      <c r="CM203" s="44"/>
      <c r="CN203" s="44"/>
      <c r="CO203" s="44"/>
      <c r="CP203" s="44"/>
      <c r="CQ203" s="44"/>
      <c r="CR203" s="44"/>
      <c r="CS203" s="44"/>
      <c r="CT203" s="44"/>
      <c r="CU203" s="44"/>
      <c r="CV203" s="44"/>
      <c r="CW203" s="44"/>
      <c r="CX203" s="44"/>
      <c r="CY203" s="44"/>
      <c r="CZ203" s="44"/>
      <c r="DA203" s="44"/>
      <c r="DB203" s="44"/>
      <c r="DC203" s="44"/>
      <c r="DD203" s="44"/>
      <c r="DE203" s="44"/>
      <c r="DF203" s="44"/>
      <c r="DG203" s="44"/>
      <c r="DH203" s="44"/>
      <c r="DI203" s="44"/>
      <c r="DJ203" s="44"/>
      <c r="DK203" s="44"/>
      <c r="DL203" s="44"/>
      <c r="DM203" s="44"/>
      <c r="DN203" s="44"/>
      <c r="DO203" s="44"/>
      <c r="DP203" s="44"/>
      <c r="DQ203" s="44"/>
      <c r="DR203" s="44"/>
      <c r="DS203" s="44"/>
      <c r="DT203" s="44"/>
      <c r="DU203" s="44"/>
      <c r="DV203" s="44"/>
      <c r="DW203" s="44"/>
      <c r="DX203" s="44"/>
      <c r="DY203" s="44"/>
      <c r="DZ203" s="44"/>
      <c r="EA203" s="44"/>
      <c r="EB203" s="44"/>
      <c r="EC203" s="44"/>
      <c r="ED203" s="44"/>
      <c r="EE203" s="44"/>
      <c r="EF203" s="44"/>
      <c r="EG203" s="44"/>
      <c r="EH203" s="44"/>
      <c r="EI203" s="44"/>
      <c r="EJ203" s="44"/>
      <c r="EK203" s="44"/>
      <c r="EL203" s="44"/>
      <c r="EM203" s="44"/>
      <c r="EN203" s="44"/>
      <c r="EO203" s="44"/>
      <c r="EP203" s="44"/>
      <c r="EQ203" s="44"/>
      <c r="ER203" s="44"/>
      <c r="ES203" s="44"/>
      <c r="ET203" s="44"/>
      <c r="EU203" s="44"/>
      <c r="EV203" s="44"/>
      <c r="EW203" s="44"/>
      <c r="EX203" s="44"/>
      <c r="EY203" s="44"/>
      <c r="EZ203" s="44"/>
      <c r="FA203" s="44"/>
      <c r="FB203" s="44"/>
      <c r="FC203" s="44"/>
      <c r="FD203" s="44"/>
      <c r="FE203" s="44"/>
      <c r="FF203" s="44"/>
      <c r="FG203" s="44"/>
      <c r="FH203" s="44"/>
      <c r="FI203" s="44"/>
      <c r="FJ203" s="44"/>
      <c r="FK203" s="44"/>
      <c r="FL203" s="44"/>
      <c r="FM203" s="44"/>
      <c r="FN203" s="44"/>
      <c r="FO203" s="44"/>
      <c r="FP203" s="44"/>
      <c r="FQ203" s="44"/>
      <c r="FR203" s="44"/>
      <c r="FS203" s="44"/>
      <c r="FT203" s="44"/>
      <c r="FU203" s="44"/>
      <c r="FV203" s="44"/>
      <c r="FW203" s="44"/>
      <c r="FX203" s="44"/>
      <c r="FY203" s="44"/>
      <c r="FZ203" s="44"/>
      <c r="GA203" s="44"/>
      <c r="GB203" s="44"/>
      <c r="GC203" s="44"/>
      <c r="GD203" s="44"/>
      <c r="GE203" s="44"/>
      <c r="GF203" s="44"/>
      <c r="GG203" s="44"/>
      <c r="GH203" s="44"/>
      <c r="GI203" s="44"/>
      <c r="GJ203" s="44"/>
      <c r="GK203" s="44"/>
      <c r="GL203" s="44"/>
      <c r="GM203" s="44"/>
      <c r="GN203" s="44"/>
      <c r="GO203" s="44"/>
      <c r="GP203" s="44"/>
      <c r="GQ203" s="44"/>
      <c r="GR203" s="44"/>
      <c r="GS203" s="44"/>
      <c r="GT203" s="44"/>
      <c r="GU203" s="44"/>
      <c r="GV203" s="44"/>
      <c r="GW203" s="44"/>
      <c r="GX203" s="44"/>
      <c r="GY203" s="44"/>
      <c r="GZ203" s="44"/>
      <c r="HA203" s="44"/>
      <c r="HB203" s="44"/>
      <c r="HC203" s="44"/>
      <c r="HD203" s="44"/>
      <c r="HE203" s="44"/>
      <c r="HF203" s="44"/>
      <c r="HG203" s="44"/>
      <c r="HH203" s="44"/>
      <c r="HI203" s="44"/>
      <c r="HJ203" s="44"/>
      <c r="HK203" s="44"/>
      <c r="HL203" s="44"/>
      <c r="HM203" s="44"/>
      <c r="HN203" s="44"/>
      <c r="HO203" s="44"/>
      <c r="HP203" s="44"/>
      <c r="HQ203" s="44"/>
      <c r="HR203" s="44"/>
      <c r="HS203" s="44"/>
    </row>
  </sheetData>
  <pageMargins left="0.75" right="0.75" top="1" bottom="1" header="0.509027777777778" footer="0.509027777777778"/>
  <pageSetup paperSize="9" scale="2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 VN Pack list (M230905 batch)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2023-09-08T05:37:00Z</dcterms:created>
  <dcterms:modified xsi:type="dcterms:W3CDTF">2023-09-27T00:53:12Z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KSOReadingLayout">
    <vt:bool>false</vt:bool>
  </property>
</Properties>
</file>